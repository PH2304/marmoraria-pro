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ágina2" sheetId="1" r:id="rId5"/>
    <sheet state="visible" name="Principal" sheetId="2" r:id="rId6"/>
    <sheet state="visible" name="Impressão" sheetId="3" r:id="rId7"/>
    <sheet state="visible" name="Lista de Materiais" sheetId="4" r:id="rId8"/>
    <sheet state="visible" name="Lista Salva" sheetId="5" r:id="rId9"/>
    <sheet state="visible" name="Página1" sheetId="6" r:id="rId10"/>
  </sheets>
  <definedNames>
    <definedName name="Total">Principal!$H$22</definedName>
    <definedName name="MDO">Principal!$I$4</definedName>
    <definedName name="Material.Soco">'Página2'!$A$33:$A$34</definedName>
    <definedName name="Material.Peitoril">'Página2'!$A$5:$A$6</definedName>
    <definedName name="Material.CubaEsculpida">'Página2'!$A$25:$A$26</definedName>
    <definedName name="Material.RequadroJanela">'Página2'!$A$17:$A$18</definedName>
    <definedName name="Material.TentoDoBox">'Página2'!$A$7:$A$8</definedName>
    <definedName name="Material.ForraçãoBanheira">'Página2'!$A$37:$A$38</definedName>
    <definedName name="Material.Alizar">'Página2'!$A$39:$A$40</definedName>
    <definedName name="a">Principal!$B$22:$H$33</definedName>
    <definedName name="Material.Bancada">'Página2'!$A$1:$A$2</definedName>
    <definedName name="Imp.TOTMAT">'Impressão'!$E$16</definedName>
    <definedName name="Material.Ilharga">'Página2'!$A$3:$A$4</definedName>
    <definedName name="Imp.TOTCRED">'Impressão'!$E$18</definedName>
    <definedName name="Material.Filete">'Página2'!$A$29:$A$30</definedName>
    <definedName name="AjudaMDO2">'Página1'!$B$66</definedName>
    <definedName name="Materiais">'Lista de Materiais'!$B$3:$B$125</definedName>
    <definedName name="Material.Rodapé">'Página2'!$A$19:$A$20</definedName>
    <definedName name="Material.Escada">'Página2'!$A$23:$A$24</definedName>
    <definedName name="Material.RequadroPorta">'Página2'!$A$13:$A$14</definedName>
    <definedName name="Material.Forração">'Página2'!$A$35:$A$36</definedName>
    <definedName name="Material.Piso">'Página2'!$A$21:$A$22</definedName>
    <definedName name="Imp.FR">'Impressão'!$E$19</definedName>
    <definedName name="Frete">Principal!$I$2</definedName>
    <definedName name="Material.Soleira">'Página2'!$A$9:$A$10</definedName>
    <definedName name="Material.Chapim">'Página2'!$A$11:$A$12</definedName>
    <definedName name="BDMateriais">'Lista de Materiais'!$B$2:$C$125</definedName>
    <definedName name="Credito">Principal!$I$7</definedName>
    <definedName name="b">'Lista Salva'!$B$1:$H$31</definedName>
    <definedName name="AjudaMDO">Principal!$H$5</definedName>
    <definedName name="Material.Mesa">'Página2'!$A$27:$A$28</definedName>
    <definedName name="Material.BalcãoSeco">'Página2'!$A$31:$A$32</definedName>
    <definedName name="Imp.MDOC">'Impressão'!$E$17</definedName>
    <definedName name="Trabalhos">'Página2'!$D$3:$D$30</definedName>
    <definedName name="Imp.TOT">'Impressão'!$E$20</definedName>
    <definedName name="Material.Nicho">'Página2'!$A$15:$A$16</definedName>
  </definedNames>
  <calcPr/>
</workbook>
</file>

<file path=xl/sharedStrings.xml><?xml version="1.0" encoding="utf-8"?>
<sst xmlns="http://schemas.openxmlformats.org/spreadsheetml/2006/main" count="473" uniqueCount="300">
  <si>
    <t>Materiais</t>
  </si>
  <si>
    <t>Bancada</t>
  </si>
  <si>
    <t>TRABALHOS</t>
  </si>
  <si>
    <t>Ilharga</t>
  </si>
  <si>
    <t>Cuba</t>
  </si>
  <si>
    <t>Peitoril</t>
  </si>
  <si>
    <t>Tento do Box</t>
  </si>
  <si>
    <t>Soleira</t>
  </si>
  <si>
    <t>Chapim</t>
  </si>
  <si>
    <t>Requadro Porta</t>
  </si>
  <si>
    <t>Nicho</t>
  </si>
  <si>
    <t>Requadro Janela</t>
  </si>
  <si>
    <t>Rodapé</t>
  </si>
  <si>
    <t>Piso</t>
  </si>
  <si>
    <t>Escada</t>
  </si>
  <si>
    <t>Cuba Esculpida</t>
  </si>
  <si>
    <t>Mesa</t>
  </si>
  <si>
    <t>Filete</t>
  </si>
  <si>
    <t>Balcão Seco</t>
  </si>
  <si>
    <t>Soco</t>
  </si>
  <si>
    <t>Forração</t>
  </si>
  <si>
    <t>Forração Banheira</t>
  </si>
  <si>
    <t>Alizar</t>
  </si>
  <si>
    <t>b</t>
  </si>
  <si>
    <t xml:space="preserve"> </t>
  </si>
  <si>
    <t>TABELA DE TRABALHOS</t>
  </si>
  <si>
    <t>Frete:</t>
  </si>
  <si>
    <t>Mão de Obra</t>
  </si>
  <si>
    <t>BANCADA</t>
  </si>
  <si>
    <t>m²</t>
  </si>
  <si>
    <t>2,00</t>
  </si>
  <si>
    <t>0,50</t>
  </si>
  <si>
    <t>Quantidade</t>
  </si>
  <si>
    <t>AMARELO FLORENÇA</t>
  </si>
  <si>
    <t>Abater do Total (Crédito)</t>
  </si>
  <si>
    <t>Saia lateral?</t>
  </si>
  <si>
    <t>Saia frontal?</t>
  </si>
  <si>
    <t>1,50</t>
  </si>
  <si>
    <t>0,10</t>
  </si>
  <si>
    <t>Front lateral?</t>
  </si>
  <si>
    <t>0,20</t>
  </si>
  <si>
    <t>Front?</t>
  </si>
  <si>
    <t>Total</t>
  </si>
  <si>
    <t>Rua Jacamim, nº 8 – Jardim Anhangá – Duque de Caxias – RJ – Tels: (021) 98371-0067 /  98090-0260</t>
  </si>
  <si>
    <t>LISTA GERAL</t>
  </si>
  <si>
    <t>TOTAL</t>
  </si>
  <si>
    <t>BANHO 2</t>
  </si>
  <si>
    <t>CINZA PRIME</t>
  </si>
  <si>
    <t>Bancada: 1,50x0,50m² + 1 Saia Lat. 0,50x0,10 m² + 1 Saia frontal 1,50x0,10m² + 1 Front lat. 0,50x0,20m² + Front de 1,50x0,20m²</t>
  </si>
  <si>
    <t>Tento do Box: 2x 1,80x0,10m²</t>
  </si>
  <si>
    <t xml:space="preserve">Nicho: 2 peças 0,40x0,10m², 2 peças 1,20x0,10m² + Fundo de 1,20x0,40m²   </t>
  </si>
  <si>
    <t xml:space="preserve">Filete: 0,70x0,05m² </t>
  </si>
  <si>
    <t>BANHO MASTER</t>
  </si>
  <si>
    <t>BRANCO PREMIER</t>
  </si>
  <si>
    <t xml:space="preserve">Nicho: 2 peças 0,60x0,10m², 2 peças 1,20x0,10m² + Fundo de 1,20x0,60m²   </t>
  </si>
  <si>
    <t>Tento do Box: 2x 2,00x0,10m²</t>
  </si>
  <si>
    <t xml:space="preserve">Bancada em L: 1,60x0,45m² + 1 Saia frontal 1,60x0,10m² + Front de 1,60x0,20m²+Bancada: 0,67x0,25m² + 1 Saia frontal 0,67x0,10m² + 1 Front lat. 0,25x0,20m² + Front de 0,67x0,20m²                        </t>
  </si>
  <si>
    <t>ilo</t>
  </si>
  <si>
    <t xml:space="preserve">                                                                                                      </t>
  </si>
  <si>
    <t>Ao</t>
  </si>
  <si>
    <t>Conforme sua solicitação, apresentamos a seguir proposta para apreciação de V.S.ª, quanto ao fornecimento de granito para sua obra. Informamos ainda, prazo de entrega e condições de pagamento.</t>
  </si>
  <si>
    <t xml:space="preserve">TOTAL MATERIAL </t>
  </si>
  <si>
    <t xml:space="preserve">M.O  COLOCAÇÃO </t>
  </si>
  <si>
    <t>CREDITO</t>
  </si>
  <si>
    <t>FRETE</t>
  </si>
  <si>
    <t>. Prazo de entrega: A combinar.</t>
  </si>
  <si>
    <t>. Condições de pgto:  A combinar.</t>
  </si>
  <si>
    <r>
      <rPr>
        <rFont val="Century Schoolbook"/>
        <b/>
        <i/>
        <color theme="1"/>
        <sz val="12.0"/>
      </rPr>
      <t xml:space="preserve">. </t>
    </r>
    <r>
      <rPr>
        <rFont val="Century Schoolbook"/>
        <b/>
        <i/>
        <color theme="1"/>
        <sz val="11.0"/>
      </rPr>
      <t>Não fornecemos cubas de louça, torneiras e acessórios. Não fazemos furo de torneira em cubas de louça, somente em pedra.</t>
    </r>
  </si>
  <si>
    <r>
      <rPr>
        <rFont val="Century Schoolbook"/>
        <b/>
        <i/>
        <color theme="1"/>
        <sz val="12.0"/>
      </rPr>
      <t>.</t>
    </r>
    <r>
      <rPr>
        <rFont val="Century Schoolbook"/>
        <b/>
        <i/>
        <color theme="1"/>
        <sz val="14.0"/>
      </rPr>
      <t xml:space="preserve"> Todo material necessário para colocação é de reponsabilidade do cliente.</t>
    </r>
  </si>
  <si>
    <r>
      <rPr>
        <rFont val="&quot;Century Schoolbook&quot;"/>
        <b/>
        <i/>
        <color rgb="FFFF0000"/>
        <sz val="12.0"/>
      </rPr>
      <t xml:space="preserve">. Para depósito:  Banco Itaú ag.9285 - conta 99559-4 - FG MONTES ME –   PIX :  </t>
    </r>
    <r>
      <rPr>
        <rFont val="&quot;Century Schoolbook&quot;"/>
        <b/>
        <i/>
        <color rgb="FFFF0000"/>
        <sz val="14.0"/>
      </rPr>
      <t>marmorariahelomar@gmail.com</t>
    </r>
  </si>
  <si>
    <t>.(*) Validade da proposta: 20 dias para materiais nacionais.</t>
  </si>
  <si>
    <t>. (**) Validade da proposta: 02 dias para materiais importados em função da variação do dólar/euro.</t>
  </si>
  <si>
    <t>OBSERVAÇÕES:</t>
  </si>
  <si>
    <t>. Todo o faturamento terá como base os valores de m² e ml, podendo haver modificações após medição no local.</t>
  </si>
  <si>
    <t>. Todo o material aqui proposto é de origem mineral, portanto está sujeito a veios e variações de tonalidades.</t>
  </si>
  <si>
    <t>(*) Este prazo muda se o material for nanoglass ou marmoglass que passa a ser de até 30 dias úteis. Se tiver cuba esculpida, então passa para até 35 dias úteis.</t>
  </si>
  <si>
    <t>. Valor mínimo cobrado para colocação e ou reparo é de R$ 1.200,00 ( Hum mil e duzentos reais );</t>
  </si>
  <si>
    <t>. Toda cuba esculpida é trabalho artesanal e sendo assim,  o valor cobrado parte de R$ 1.000,00 ( Hum mil reais);</t>
  </si>
  <si>
    <t>. É necessário que o colocador ou responsável pela colocação esteja(m) no local para acompanhar a medição que será realizada em uma única etapa e cada profissional tem uma maneira própria de trabalhar;</t>
  </si>
  <si>
    <t>.Caso o cliente não tenha nenhum destes profissionais contratado, ele acompanhará e dará o “OK” nas medições e acabamentos, para que o mesmo possa explicar a quem for fazer a colocação;</t>
  </si>
  <si>
    <t>.Caso haja necessidade de uma visita de nossos profissionais por ocasião da colocação para orientar o colocador do cliente, será cobrada a visita no valor de R$ 350,00( Trezentos e cinquenta reais);</t>
  </si>
  <si>
    <t>.Todos os cortes para ajustes de colocação (ex.: furos para tomada, ralos, ½ esquadria de frontispícios, recortes de pedras para ajustes de esquadro de ambientes, etc.), serão feitos pelo colocador, salvo serviços combinados previamente e cobrados de acordo com a nossa tabela de serviços;</t>
  </si>
  <si>
    <t>. Todo material necessário para colocação ( areia,saibro,cimento, grampo, cola, tubos de PU, material para rejunte, tubos de aço galvanizado, andaimes e demais) será fornecido pelo cliente;</t>
  </si>
  <si>
    <t>. A colocação de mármores e granitos não abrange troca de azulejos, reparos de pinturas e rebocos, instalações hidráulicas e demais reparos, restringindo-se apenas aos materiais adquiridos na marmoraria;</t>
  </si>
  <si>
    <t>.A colocação de cubas de sobrepor ou de apoio, furos de torneiras e cooktop será feita por nossos profissionais depois das bancadas serem colocadas, com agendamento prévio e será necessária a presença do proprietário ou arquiteto responsável pela obra. A não observação desta cláusula implicará numa nova visita e esta será cobrada o valor mínimo de R$ 350,00 (Trezentos e cinquenta reais). Este trabalho será feito em horário comercial com exceção de prédios comerciais;</t>
  </si>
  <si>
    <t>. A nossa entrega será avisada na véspera e é feita dentro do horário comercial (08 as 18 horas), não é possível marcar horário. Caso a entrega não possa ser feita por não ter quem receber, favor nos avisar com antecedência se não, cobraremos outro frete;</t>
  </si>
  <si>
    <t>.Quantidades fornecidas por V.Sa., e orçadas com medidas retiradas das plantas podendo variar depois da medição no local. O orçamento será refeito, prevalecendo sempre o valor do m² utilizado para o cálculo dos serviços e as diferenças encontradas serão cobradas de acordo com o item seguinte;</t>
  </si>
  <si>
    <t>.Os materiais que forem solicitados e entregues que estejam fora do deste orçamento, serão entregues acompanhados de boletos bancários com vencimentos no máximo de 10 dias após a entrega;</t>
  </si>
  <si>
    <t>.Todo material deve ser conferido no ato da entrega, pois não serão aceitas reclamações posteriores. Eventuais reclamações deverão ser descritas no verso do pedido;</t>
  </si>
  <si>
    <t>.Não será feita a troca de peças após elas terem sido colocadas e/ou quebradas;</t>
  </si>
  <si>
    <t>.Todas as mercadorias (peças) a serem entregues em locais de difícil acesso ( que não possam ser transportadas pelo elevador ), que necessite içar por meio de cordas ou equipamento específico (interno ou externo), será de inteira responsabilidade do cliente contratante;</t>
  </si>
  <si>
    <t>.O cliente ou seu preposto deverá identificar-se devidamente e assinar o canhoto do pedido. O recebimento da mercadoria ou serviços implica no reconhecimento, pelo destinatário, de que recebeu, examinou e aprovou os mesmos;</t>
  </si>
  <si>
    <t>.O prazo de entrega do pedido será de até 08 dias (úteis) considerados após a medição pela Helomar de todo o material para os peitoris, ilhargas, tentos, soleiras e filetes, e de 20 dias (úteis) para as bancadas, pisos, forrações e chapins de banheira. Se houver armários sob as bancadas da cozinha e/ou banheiros, mediremos após sua montagem, salvo autorização por escrito do proprietário da obra;</t>
  </si>
  <si>
    <t>.O prazo passa a contar após todas as condições de pagamentos cumpridas, o contrato assinado, os desenhos aprovados com as medições feitas por nosso profissional no local, as cubas entregues e o material para corte aprovado pelo Cliente.</t>
  </si>
  <si>
    <t>.Se o cliente cancelar o serviço após recebermos o sinal, será devolvido o dinheiro descontando-se 30% do total do orçamento;</t>
  </si>
  <si>
    <t>.Não nos responsabilizamos pelo mau uso dos materiais como por exemplo: uso de produtos de limpeza agressivos, sabão em pó, ácidos e etc; que podem causar manchas nas peças. Pedras devem ser limpas com água e sabão neutro.</t>
  </si>
  <si>
    <t>.O granito e o mármore são materiais provenientes da natureza, portanto sujeitos a variações de cor, veios, desenhos e/ou manchas e é por isso que 02 peças nunca serão exatamente iguais. Por estas formações naturais não poderão ser recusados ou devolvidos;</t>
  </si>
  <si>
    <t>.Materiais sintéticos também sofrem variação de cor como porcelanatos, cerâmicas etc que devem ser comprados todos no mesmo lote.</t>
  </si>
  <si>
    <t>Atenciosamente,</t>
  </si>
  <si>
    <t>Marmoraria Helomar</t>
  </si>
  <si>
    <t>Declaro que li e entendi as observações da marmoraria para o início do meu trabalho.</t>
  </si>
  <si>
    <t>Aceite do cliente:</t>
  </si>
  <si>
    <t>Data:</t>
  </si>
  <si>
    <t>CPF/CNPJ:</t>
  </si>
  <si>
    <t>Preços</t>
  </si>
  <si>
    <t>ALBA PEITA CINZA</t>
  </si>
  <si>
    <t>AMARELO ICARAI</t>
  </si>
  <si>
    <t>AMARELO MARACUJA</t>
  </si>
  <si>
    <t>AMARELO ORNAMENTAL</t>
  </si>
  <si>
    <t>AMÊNDOA</t>
  </si>
  <si>
    <t>ARDOSIA</t>
  </si>
  <si>
    <t>AS DE PAUS</t>
  </si>
  <si>
    <t>AZUL MACAÚBAS</t>
  </si>
  <si>
    <t>BRANCO CEARÁ</t>
  </si>
  <si>
    <t>BCO CEARÁ ESCOVADO</t>
  </si>
  <si>
    <t>BCO CHOCOLATE</t>
  </si>
  <si>
    <t>BCO EXTRA</t>
  </si>
  <si>
    <t>BCO INTER</t>
  </si>
  <si>
    <t>BCO PINTA CINZA</t>
  </si>
  <si>
    <t>BCO PINTA VERDE</t>
  </si>
  <si>
    <t>BCO PREMIER</t>
  </si>
  <si>
    <t>BCO SIENA ESCOVADO</t>
  </si>
  <si>
    <t>BEGE BAHIA</t>
  </si>
  <si>
    <t>BEGE PREMIER</t>
  </si>
  <si>
    <t xml:space="preserve">BLUE MIST </t>
  </si>
  <si>
    <t xml:space="preserve">BOTTICINO </t>
  </si>
  <si>
    <t>BRANCO CACHOEIRO</t>
  </si>
  <si>
    <t>BRANCO CARRARINHA</t>
  </si>
  <si>
    <t>BRANCO CINTILANTE</t>
  </si>
  <si>
    <t>BRANCO COMUM</t>
  </si>
  <si>
    <t>BRANCO DALLAS</t>
  </si>
  <si>
    <t>BRANCO ITAUNAS FLAMEADO</t>
  </si>
  <si>
    <t>BCO ITAUNAS</t>
  </si>
  <si>
    <t>BRANCO LEBLON</t>
  </si>
  <si>
    <t>BRANCO PARANÁ</t>
  </si>
  <si>
    <t>BRANCO PARIS</t>
  </si>
  <si>
    <t>BRANCO PIGHÊS</t>
  </si>
  <si>
    <t>BRANCO PITAYA</t>
  </si>
  <si>
    <t>BRANCO SIENA ANTICATO</t>
  </si>
  <si>
    <t>CALACATA GOLD ALTA POTENCIA</t>
  </si>
  <si>
    <t>CALACATA ORO RAVELO</t>
  </si>
  <si>
    <t>CARRARA</t>
  </si>
  <si>
    <t>CERÂMICA CALACATA</t>
  </si>
  <si>
    <t>CINZA ANDORINHA</t>
  </si>
  <si>
    <t>CINZA ANDORINHA ESCOVADO</t>
  </si>
  <si>
    <t>CINZA CASTELO</t>
  </si>
  <si>
    <t>CINZA CORUMBA</t>
  </si>
  <si>
    <t>CINZA PREMIER</t>
  </si>
  <si>
    <t>CREMA MARFIL</t>
  </si>
  <si>
    <t>CREMA MOKKA</t>
  </si>
  <si>
    <t>DEKTON ENTZO NATURAL</t>
  </si>
  <si>
    <t>DEKTON KELYA (4MM)</t>
  </si>
  <si>
    <t>DEKTON RIO BRANCO (1,2MM)</t>
  </si>
  <si>
    <t>CINZA ABSOLUTO GRANITO</t>
  </si>
  <si>
    <t>GRANITO CINZA ABSOLUTO ESCOVADO</t>
  </si>
  <si>
    <t>GRANITO OURO BRANCO</t>
  </si>
  <si>
    <t>ITAUNAS ESCOVADO</t>
  </si>
  <si>
    <t>KALAHARI</t>
  </si>
  <si>
    <t>MARROM ABSOLUTO</t>
  </si>
  <si>
    <t>MARROM CAFÉ</t>
  </si>
  <si>
    <t>MARROM IMPERIAL</t>
  </si>
  <si>
    <t>MARROM TABACO</t>
  </si>
  <si>
    <t>NANO PRIME</t>
  </si>
  <si>
    <t>NERO MARQUINA</t>
  </si>
  <si>
    <t>OCRE ITABIRA</t>
  </si>
  <si>
    <t>ONIX WHITE</t>
  </si>
  <si>
    <t>OURO BRANCO</t>
  </si>
  <si>
    <t>OURO BRASIL</t>
  </si>
  <si>
    <t>PORCELANATO CLIENTE</t>
  </si>
  <si>
    <t>PRETO ABSOLUTO</t>
  </si>
  <si>
    <t>PRETO BASALTO</t>
  </si>
  <si>
    <t>PRETO ESCOVADO / APICOADO</t>
  </si>
  <si>
    <t>PRETO INDIANO</t>
  </si>
  <si>
    <t>PRETO S. GABRIEL ESCOVADO</t>
  </si>
  <si>
    <t>PRETO S.GABRIEL</t>
  </si>
  <si>
    <t>PRETO SEMI ABSOLUTO</t>
  </si>
  <si>
    <t>PRIME CALACATA</t>
  </si>
  <si>
    <t>PRIME ONIX</t>
  </si>
  <si>
    <t>QTZO CALACATA</t>
  </si>
  <si>
    <t>QUARTZO BCO STELAR</t>
  </si>
  <si>
    <t>QUARTZO BRANCO</t>
  </si>
  <si>
    <t>QUARTZO CINZA</t>
  </si>
  <si>
    <t>QUARTZO GRAIN MINERVA</t>
  </si>
  <si>
    <t>QUARTZO MARROM ESTELAR</t>
  </si>
  <si>
    <t>QUARTZO MARROM CAFÉ</t>
  </si>
  <si>
    <t>QUARTZO PERLA SANTANA</t>
  </si>
  <si>
    <t>SÃO FRANCISCO</t>
  </si>
  <si>
    <t>SÃO TOMÉ</t>
  </si>
  <si>
    <t>SIENA BRANCO</t>
  </si>
  <si>
    <t>SILESTONE BLANCO NORTE</t>
  </si>
  <si>
    <t>SILESTONE BRANCO ZEUS</t>
  </si>
  <si>
    <t>SILESTONE CINZA KENSHO</t>
  </si>
  <si>
    <t>SILESTONE MARENGO</t>
  </si>
  <si>
    <t>SIVEC</t>
  </si>
  <si>
    <t>SUPER NANO</t>
  </si>
  <si>
    <t>TAJ MAHAL</t>
  </si>
  <si>
    <t>TRAVERTINO MATTE</t>
  </si>
  <si>
    <t>TRAVERTINO NAVONA BRUTO</t>
  </si>
  <si>
    <t>TRAVERTINO NAVONA ESTUCADO</t>
  </si>
  <si>
    <t>TRAVERTINO ROMANO ESTUCADO</t>
  </si>
  <si>
    <t>ULTRACOMPCT BRANCO ACETINADO</t>
  </si>
  <si>
    <t>ULTRACOMPCT BRANCO LUSTRADO</t>
  </si>
  <si>
    <t>ULTACOMPACT B.CARRARA STATURIETTO 6MM</t>
  </si>
  <si>
    <t>ULTRA COMP BIANCO ABSOLUTE LUCIDATO</t>
  </si>
  <si>
    <t>ULTRACOMPACT CALCE TORTORA</t>
  </si>
  <si>
    <t>ULTRACOMPACT CREAM DIAMOND</t>
  </si>
  <si>
    <t>ULTRACOMPACT CINZA</t>
  </si>
  <si>
    <t>ULTRACOMPACT PIETRA GREY LUCIDATO</t>
  </si>
  <si>
    <t>ULTRACOMPACT TAJ MAHAL</t>
  </si>
  <si>
    <t>ULTRACOMPACT TRAVERTINO NAVONA</t>
  </si>
  <si>
    <t>VERDE CANDEIAS</t>
  </si>
  <si>
    <t>VERDE GUATEMALA</t>
  </si>
  <si>
    <t>VERDE JADE</t>
  </si>
  <si>
    <t>VERDE ESCOVADO UBATUBA</t>
  </si>
  <si>
    <t xml:space="preserve">VERDE UBATUBA </t>
  </si>
  <si>
    <t>VERMELHO BRASILIA 0,03</t>
  </si>
  <si>
    <t>VERMELHO BRASILIA 0,02</t>
  </si>
  <si>
    <t>VIA LÁCTEA</t>
  </si>
  <si>
    <t>VRD UBATUBA FLAMEADO</t>
  </si>
  <si>
    <t>DESPENSA</t>
  </si>
  <si>
    <t>MÁRMORE BRANCO COMUM</t>
  </si>
  <si>
    <t xml:space="preserve">3  prateleiras de 0,50x0,30m² </t>
  </si>
  <si>
    <t xml:space="preserve">5  prateleiras de 0,60x0,30m² </t>
  </si>
  <si>
    <t xml:space="preserve">5 prateleiras de 1,17x0,30m² </t>
  </si>
  <si>
    <t>PEITORIS</t>
  </si>
  <si>
    <t>MÁRMORE BCO COMUM</t>
  </si>
  <si>
    <t xml:space="preserve">Peitoril quarto 2: 1,50x0,20m² </t>
  </si>
  <si>
    <t xml:space="preserve">Peitoril quarto 1: 1,74x0,20m² </t>
  </si>
  <si>
    <t>Peitoril cozinha: 0,82x0,20m² + 1,75x0,20m² + 0,60x0,20m²</t>
  </si>
  <si>
    <t>Peitoril sala: 1,54x0,20m² + 1,76x0,20m²</t>
  </si>
  <si>
    <t>BANHO SUÍTE</t>
  </si>
  <si>
    <t xml:space="preserve">Peitoril: 0,54x0,17m² </t>
  </si>
  <si>
    <t>Tento do Box: 2x 1,40x0,10x0,04m²</t>
  </si>
  <si>
    <t xml:space="preserve">Filete: 0,74x0,035m² </t>
  </si>
  <si>
    <t>Bancada: 0,80x0,55m² + 1 Saia Lat. 0,55x0,10 m² + 1 Saia frontal 0,80x0,10m² + 1 Front lat. 0,55x0,10m² + Front de 0,80x0,10m²</t>
  </si>
  <si>
    <t>BANHO SOCIAL</t>
  </si>
  <si>
    <t xml:space="preserve">Peitoril: 0,64x0,17m² </t>
  </si>
  <si>
    <t>Tento do Box: 2x 1,20x0,10x0,04m²</t>
  </si>
  <si>
    <t>Bancada: 0,70x0,50m² + 1 Saia Lat. 0,50x0,10 m² + 1 Saia frontal 0,70x0,10m² + 1 Front lat. 0,50x0,10m² + Front de 0,70x0,10m²</t>
  </si>
  <si>
    <t>ÁREA DE SERVIÇO</t>
  </si>
  <si>
    <t>PRETO S. GABRIEL</t>
  </si>
  <si>
    <t>Bancada: 2,11x0,65m² + 1 Saia frontal 2,11x0,04m² + 2 Frontes lat. de 0,65x0,10m² + Front de 2,11x0,10m²</t>
  </si>
  <si>
    <t>COZINHA</t>
  </si>
  <si>
    <t>Bancada: 2,12x0,65m² + 1 Saia frontal 2,12x0,04m² + 2 Frontes lat. de 0,65x0,10m² + Front de 2,12x0,10m²</t>
  </si>
  <si>
    <t>TAMPO MESA</t>
  </si>
  <si>
    <t>% no Pé:</t>
  </si>
  <si>
    <t>Pé?</t>
  </si>
  <si>
    <t>Sarim?</t>
  </si>
  <si>
    <t>NICHO</t>
  </si>
  <si>
    <t>Altura</t>
  </si>
  <si>
    <t>Profundidade</t>
  </si>
  <si>
    <t>Comprimento</t>
  </si>
  <si>
    <t>Fundo?</t>
  </si>
  <si>
    <t>Alizar lateral?</t>
  </si>
  <si>
    <t>SOLEIRA</t>
  </si>
  <si>
    <t>Alizar superior / inferior?</t>
  </si>
  <si>
    <t>Prateleira?</t>
  </si>
  <si>
    <t>RODAPÉ</t>
  </si>
  <si>
    <t>Saia?</t>
  </si>
  <si>
    <t>CUBA</t>
  </si>
  <si>
    <t>-</t>
  </si>
  <si>
    <t>ILHARGA</t>
  </si>
  <si>
    <t>PEITORIL</t>
  </si>
  <si>
    <t>REQUADRO JANELA</t>
  </si>
  <si>
    <t>Polir 2 faces?</t>
  </si>
  <si>
    <t>CHAPIM</t>
  </si>
  <si>
    <t>PISO</t>
  </si>
  <si>
    <t>Dupla?</t>
  </si>
  <si>
    <t>Só lateral?</t>
  </si>
  <si>
    <t>Só peitoril?</t>
  </si>
  <si>
    <t>ESCADA</t>
  </si>
  <si>
    <t>MESA</t>
  </si>
  <si>
    <t>% no Tampo:</t>
  </si>
  <si>
    <t>Espelho?</t>
  </si>
  <si>
    <t>CUBA ESCULPIDA</t>
  </si>
  <si>
    <t>Degraus Especiais?</t>
  </si>
  <si>
    <t>Largura</t>
  </si>
  <si>
    <t>REQUADRO PORTA</t>
  </si>
  <si>
    <t>Saia Especial?</t>
  </si>
  <si>
    <t>Espelho Especial?</t>
  </si>
  <si>
    <t>Preço da mão de obra</t>
  </si>
  <si>
    <t>Comum</t>
  </si>
  <si>
    <t>TENTO DO BOX</t>
  </si>
  <si>
    <t>Fundo falso?</t>
  </si>
  <si>
    <t>2x m²</t>
  </si>
  <si>
    <t>Laterais?</t>
  </si>
  <si>
    <t>Piso?</t>
  </si>
  <si>
    <t xml:space="preserve">
</t>
  </si>
  <si>
    <t>Superior?</t>
  </si>
  <si>
    <t>BALCÃO SECO</t>
  </si>
  <si>
    <t>FORRAÇÃO BANHEIRA</t>
  </si>
  <si>
    <t>FILETE</t>
  </si>
  <si>
    <t>Lateral</t>
  </si>
  <si>
    <t>SOCO</t>
  </si>
  <si>
    <t>FORRAÇÃO</t>
  </si>
  <si>
    <t>Frontal</t>
  </si>
  <si>
    <t>Mdo</t>
  </si>
  <si>
    <t>ALIZAR</t>
  </si>
  <si>
    <t>Genérico</t>
  </si>
  <si>
    <t>Superior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</si>
</sst>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9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F7981D"/>
      <name val="Inconsolata"/>
    </font>
    <font>
      <b/>
      <i/>
      <color theme="1"/>
      <name val="Arial"/>
      <scheme val="minor"/>
    </font>
    <font>
      <color theme="1"/>
      <name val="Arial"/>
    </font>
    <font>
      <b/>
      <i/>
      <sz val="12.0"/>
      <color rgb="FFFFFFFF"/>
      <name val="Arial"/>
    </font>
    <font>
      <sz val="13.0"/>
      <color rgb="FF9900FF"/>
      <name val="Impact"/>
    </font>
    <font>
      <sz val="8.0"/>
      <color theme="1"/>
      <name val="Arial"/>
      <scheme val="minor"/>
    </font>
    <font>
      <sz val="12.0"/>
      <color theme="1"/>
      <name val="Century Schoolbook"/>
    </font>
    <font>
      <b/>
      <i/>
      <sz val="12.0"/>
      <color theme="1"/>
      <name val="Century Schoolbook"/>
    </font>
    <font>
      <b/>
      <i/>
      <sz val="12.0"/>
      <color rgb="FFFFFFFF"/>
      <name val="Arial"/>
      <scheme val="minor"/>
    </font>
    <font>
      <sz val="11.0"/>
      <color rgb="FF1F1F1F"/>
      <name val="Century Schoolbook"/>
    </font>
    <font>
      <color theme="1"/>
      <name val="Century Schoolbook"/>
    </font>
    <font>
      <b/>
      <i/>
      <sz val="12.0"/>
      <color theme="1"/>
      <name val="&quot;Century Schoolbook&quot;"/>
    </font>
    <font>
      <b/>
      <i/>
      <sz val="12.0"/>
      <color theme="1"/>
      <name val="Arial"/>
    </font>
    <font>
      <b/>
      <i/>
      <sz val="12.0"/>
      <color rgb="FFFF0000"/>
      <name val="&quot;Century Schoolbook&quot;"/>
    </font>
    <font>
      <b/>
      <i/>
      <sz val="12.0"/>
      <color rgb="FF808080"/>
      <name val="Arial"/>
    </font>
    <font>
      <b/>
      <i/>
      <sz val="12.0"/>
      <color rgb="FF808080"/>
      <name val="&quot;Century Schoolbook&quot;"/>
    </font>
    <font>
      <b/>
      <i/>
      <sz val="12.0"/>
      <color rgb="FF4F81BD"/>
      <name val="&quot;Century Schoolbook&quot;"/>
    </font>
    <font>
      <b/>
      <i/>
      <sz val="14.0"/>
      <color rgb="FFCC0000"/>
      <name val="&quot;Century Schoolbook&quot;"/>
    </font>
    <font>
      <sz val="12.0"/>
      <color theme="1"/>
      <name val="&quot;Century Schoolbook&quot;"/>
    </font>
    <font>
      <sz val="12.0"/>
      <color rgb="FF000000"/>
      <name val="Century Schoolbook"/>
    </font>
    <font>
      <sz val="12.0"/>
      <color rgb="FFFFFFFF"/>
      <name val="Impact"/>
    </font>
    <font>
      <sz val="10.0"/>
      <color theme="1"/>
      <name val="Arial"/>
      <scheme val="minor"/>
    </font>
    <font>
      <color rgb="FF000000"/>
      <name val="Arial"/>
    </font>
    <font>
      <b/>
      <i/>
      <sz val="12.0"/>
      <color rgb="FFEFEFEF"/>
      <name val="Arial"/>
    </font>
    <font>
      <b/>
      <i/>
      <sz val="12.0"/>
      <color rgb="FFF3F3F3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9E5AC"/>
        <bgColor rgb="FFF9E5AC"/>
      </patternFill>
    </fill>
    <fill>
      <patternFill patternType="solid">
        <fgColor rgb="FFD0E0E3"/>
        <bgColor rgb="FFD0E0E3"/>
      </patternFill>
    </fill>
    <fill>
      <patternFill patternType="solid">
        <fgColor rgb="FFF4E8DC"/>
        <bgColor rgb="FFF4E8DC"/>
      </patternFill>
    </fill>
    <fill>
      <patternFill patternType="solid">
        <fgColor rgb="FFA20000"/>
        <bgColor rgb="FFA20000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2" fontId="3" numFmtId="0" xfId="0" applyAlignment="1" applyFill="1" applyFont="1">
      <alignment horizontal="left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2" fillId="0" fontId="1" numFmtId="0" xfId="0" applyBorder="1" applyFont="1"/>
    <xf borderId="11" fillId="0" fontId="1" numFmtId="0" xfId="0" applyBorder="1" applyFont="1"/>
    <xf borderId="0" fillId="0" fontId="1" numFmtId="0" xfId="0" applyAlignment="1" applyFont="1">
      <alignment readingOrder="0" shrinkToFit="0" wrapText="0"/>
    </xf>
    <xf borderId="3" fillId="3" fontId="1" numFmtId="0" xfId="0" applyAlignment="1" applyBorder="1" applyFill="1" applyFont="1">
      <alignment readingOrder="0"/>
    </xf>
    <xf borderId="4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5" fillId="3" fontId="1" numFmtId="0" xfId="0" applyBorder="1" applyFont="1"/>
    <xf borderId="12" fillId="4" fontId="1" numFmtId="0" xfId="0" applyAlignment="1" applyBorder="1" applyFill="1" applyFont="1">
      <alignment horizontal="right" readingOrder="0"/>
    </xf>
    <xf borderId="13" fillId="5" fontId="1" numFmtId="164" xfId="0" applyAlignment="1" applyBorder="1" applyFill="1" applyFont="1" applyNumberFormat="1">
      <alignment readingOrder="0"/>
    </xf>
    <xf borderId="0" fillId="6" fontId="5" numFmtId="0" xfId="0" applyAlignment="1" applyFill="1" applyFont="1">
      <alignment vertical="bottom"/>
    </xf>
    <xf borderId="14" fillId="4" fontId="1" numFmtId="0" xfId="0" applyAlignment="1" applyBorder="1" applyFont="1">
      <alignment horizontal="center" readingOrder="0"/>
    </xf>
    <xf borderId="13" fillId="5" fontId="1" numFmtId="9" xfId="0" applyAlignment="1" applyBorder="1" applyFont="1" applyNumberFormat="1">
      <alignment horizontal="center" readingOrder="0"/>
    </xf>
    <xf borderId="15" fillId="7" fontId="6" numFmtId="0" xfId="0" applyAlignment="1" applyBorder="1" applyFill="1" applyFont="1">
      <alignment horizontal="center" vertical="bottom"/>
    </xf>
    <xf borderId="15" fillId="0" fontId="2" numFmtId="0" xfId="0" applyBorder="1" applyFont="1"/>
    <xf borderId="13" fillId="0" fontId="2" numFmtId="0" xfId="0" applyBorder="1" applyFont="1"/>
    <xf borderId="11" fillId="4" fontId="1" numFmtId="0" xfId="0" applyAlignment="1" applyBorder="1" applyFont="1">
      <alignment readingOrder="0"/>
    </xf>
    <xf borderId="16" fillId="0" fontId="1" numFmtId="0" xfId="0" applyBorder="1" applyFont="1"/>
    <xf borderId="17" fillId="0" fontId="2" numFmtId="0" xfId="0" applyBorder="1" applyFont="1"/>
    <xf borderId="18" fillId="0" fontId="2" numFmtId="0" xfId="0" applyBorder="1" applyFont="1"/>
    <xf borderId="1" fillId="0" fontId="5" numFmtId="0" xfId="0" applyAlignment="1" applyBorder="1" applyFont="1">
      <alignment horizontal="center" vertical="bottom"/>
    </xf>
    <xf borderId="1" fillId="5" fontId="5" numFmtId="49" xfId="0" applyAlignment="1" applyBorder="1" applyFont="1" applyNumberFormat="1">
      <alignment readingOrder="0" vertical="bottom"/>
    </xf>
    <xf borderId="1" fillId="4" fontId="5" numFmtId="0" xfId="0" applyAlignment="1" applyBorder="1" applyFont="1">
      <alignment vertical="bottom"/>
    </xf>
    <xf borderId="1" fillId="5" fontId="5" numFmtId="3" xfId="0" applyAlignment="1" applyBorder="1" applyFont="1" applyNumberFormat="1">
      <alignment readingOrder="0" vertical="bottom"/>
    </xf>
    <xf borderId="19" fillId="0" fontId="2" numFmtId="0" xfId="0" applyBorder="1" applyFont="1"/>
    <xf borderId="20" fillId="0" fontId="2" numFmtId="0" xfId="0" applyBorder="1" applyFont="1"/>
    <xf borderId="15" fillId="4" fontId="7" numFmtId="0" xfId="0" applyAlignment="1" applyBorder="1" applyFont="1">
      <alignment horizontal="center" vertical="top"/>
    </xf>
    <xf borderId="1" fillId="4" fontId="5" numFmtId="164" xfId="0" applyAlignment="1" applyBorder="1" applyFont="1" applyNumberFormat="1">
      <alignment readingOrder="0" shrinkToFit="0" vertical="bottom" wrapText="1"/>
    </xf>
    <xf borderId="1" fillId="4" fontId="8" numFmtId="0" xfId="0" applyAlignment="1" applyBorder="1" applyFont="1">
      <alignment horizontal="center" readingOrder="0" shrinkToFit="0" wrapText="1"/>
    </xf>
    <xf borderId="13" fillId="5" fontId="1" numFmtId="164" xfId="0" applyAlignment="1" applyBorder="1" applyFont="1" applyNumberFormat="1">
      <alignment horizontal="center" readingOrder="0"/>
    </xf>
    <xf borderId="15" fillId="0" fontId="5" numFmtId="10" xfId="0" applyAlignment="1" applyBorder="1" applyFont="1" applyNumberFormat="1">
      <alignment horizontal="center" readingOrder="0" vertical="bottom"/>
    </xf>
    <xf borderId="15" fillId="0" fontId="5" numFmtId="10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 vertical="bottom"/>
    </xf>
    <xf borderId="0" fillId="0" fontId="1" numFmtId="2" xfId="0" applyFont="1" applyNumberFormat="1"/>
    <xf borderId="1" fillId="0" fontId="5" numFmtId="49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15" fillId="0" fontId="5" numFmtId="0" xfId="0" applyAlignment="1" applyBorder="1" applyFont="1">
      <alignment horizontal="center" shrinkToFit="0" vertical="bottom" wrapText="1"/>
    </xf>
    <xf borderId="1" fillId="7" fontId="6" numFmtId="164" xfId="0" applyAlignment="1" applyBorder="1" applyFont="1" applyNumberFormat="1">
      <alignment vertical="top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9" fillId="3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9" numFmtId="0" xfId="0" applyAlignment="1" applyFont="1">
      <alignment shrinkToFit="0" wrapText="1"/>
    </xf>
    <xf borderId="0" fillId="0" fontId="10" numFmtId="164" xfId="0" applyAlignment="1" applyFont="1" applyNumberFormat="1">
      <alignment horizontal="left" readingOrder="0" vertical="top"/>
    </xf>
    <xf borderId="12" fillId="0" fontId="4" numFmtId="0" xfId="0" applyAlignment="1" applyBorder="1" applyFont="1">
      <alignment readingOrder="0"/>
    </xf>
    <xf borderId="12" fillId="7" fontId="11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readingOrder="0"/>
    </xf>
    <xf borderId="12" fillId="0" fontId="10" numFmtId="0" xfId="0" applyAlignment="1" applyBorder="1" applyFont="1">
      <alignment readingOrder="0" shrinkToFit="0" wrapText="1"/>
    </xf>
    <xf borderId="15" fillId="0" fontId="10" numFmtId="164" xfId="0" applyAlignment="1" applyBorder="1" applyFont="1" applyNumberFormat="1">
      <alignment horizontal="left" readingOrder="0" vertical="top"/>
    </xf>
    <xf borderId="6" fillId="0" fontId="9" numFmtId="0" xfId="0" applyAlignment="1" applyBorder="1" applyFont="1">
      <alignment shrinkToFit="0" wrapText="1"/>
    </xf>
    <xf borderId="0" fillId="0" fontId="9" numFmtId="164" xfId="0" applyAlignment="1" applyFont="1" applyNumberFormat="1">
      <alignment horizontal="left" vertical="top"/>
    </xf>
    <xf borderId="0" fillId="0" fontId="9" numFmtId="164" xfId="0" applyAlignment="1" applyFont="1" applyNumberFormat="1">
      <alignment horizontal="left" readingOrder="0" vertical="top"/>
    </xf>
    <xf borderId="6" fillId="0" fontId="9" numFmtId="0" xfId="0" applyAlignment="1" applyBorder="1" applyFont="1">
      <alignment readingOrder="0" shrinkToFit="0" wrapText="1"/>
    </xf>
    <xf borderId="12" fillId="0" fontId="10" numFmtId="164" xfId="0" applyAlignment="1" applyBorder="1" applyFont="1" applyNumberFormat="1">
      <alignment horizontal="left" readingOrder="0" vertical="top"/>
    </xf>
    <xf borderId="0" fillId="0" fontId="9" numFmtId="0" xfId="0" applyAlignment="1" applyFont="1">
      <alignment readingOrder="0"/>
    </xf>
    <xf borderId="0" fillId="0" fontId="9" numFmtId="0" xfId="0" applyFont="1"/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9" numFmtId="0" xfId="0" applyAlignment="1" applyFont="1">
      <alignment horizontal="left" readingOrder="0" shrinkToFit="0" wrapText="1"/>
    </xf>
    <xf borderId="3" fillId="8" fontId="14" numFmtId="0" xfId="0" applyAlignment="1" applyBorder="1" applyFill="1" applyFont="1">
      <alignment readingOrder="0" vertical="bottom"/>
    </xf>
    <xf borderId="4" fillId="8" fontId="5" numFmtId="0" xfId="0" applyAlignment="1" applyBorder="1" applyFont="1">
      <alignment vertical="bottom"/>
    </xf>
    <xf borderId="5" fillId="8" fontId="5" numFmtId="0" xfId="0" applyAlignment="1" applyBorder="1" applyFont="1">
      <alignment vertical="bottom"/>
    </xf>
    <xf borderId="4" fillId="8" fontId="15" numFmtId="164" xfId="0" applyAlignment="1" applyBorder="1" applyFont="1" applyNumberFormat="1">
      <alignment horizontal="left" readingOrder="0" vertical="bottom"/>
    </xf>
    <xf borderId="4" fillId="8" fontId="5" numFmtId="164" xfId="0" applyAlignment="1" applyBorder="1" applyFont="1" applyNumberFormat="1">
      <alignment vertical="bottom"/>
    </xf>
    <xf borderId="5" fillId="8" fontId="5" numFmtId="164" xfId="0" applyAlignment="1" applyBorder="1" applyFont="1" applyNumberFormat="1">
      <alignment vertical="bottom"/>
    </xf>
    <xf borderId="6" fillId="8" fontId="14" numFmtId="0" xfId="0" applyAlignment="1" applyBorder="1" applyFont="1">
      <alignment readingOrder="0" vertical="bottom"/>
    </xf>
    <xf borderId="0" fillId="8" fontId="5" numFmtId="0" xfId="0" applyAlignment="1" applyFont="1">
      <alignment vertical="bottom"/>
    </xf>
    <xf borderId="7" fillId="8" fontId="5" numFmtId="0" xfId="0" applyAlignment="1" applyBorder="1" applyFont="1">
      <alignment vertical="bottom"/>
    </xf>
    <xf borderId="0" fillId="8" fontId="15" numFmtId="164" xfId="0" applyAlignment="1" applyFont="1" applyNumberFormat="1">
      <alignment horizontal="left" readingOrder="0" vertical="bottom"/>
    </xf>
    <xf borderId="0" fillId="8" fontId="5" numFmtId="164" xfId="0" applyAlignment="1" applyFont="1" applyNumberFormat="1">
      <alignment vertical="bottom"/>
    </xf>
    <xf borderId="7" fillId="8" fontId="5" numFmtId="164" xfId="0" applyAlignment="1" applyBorder="1" applyFont="1" applyNumberFormat="1">
      <alignment vertical="bottom"/>
    </xf>
    <xf borderId="6" fillId="8" fontId="15" numFmtId="164" xfId="0" applyAlignment="1" applyBorder="1" applyFont="1" applyNumberFormat="1">
      <alignment horizontal="left" readingOrder="0" vertical="bottom"/>
    </xf>
    <xf borderId="7" fillId="8" fontId="5" numFmtId="0" xfId="0" applyAlignment="1" applyBorder="1" applyFont="1">
      <alignment readingOrder="0" vertical="bottom"/>
    </xf>
    <xf borderId="0" fillId="8" fontId="5" numFmtId="0" xfId="0" applyAlignment="1" applyFont="1">
      <alignment vertical="bottom"/>
    </xf>
    <xf borderId="7" fillId="8" fontId="5" numFmtId="0" xfId="0" applyAlignment="1" applyBorder="1" applyFont="1">
      <alignment vertical="bottom"/>
    </xf>
    <xf borderId="6" fillId="8" fontId="15" numFmtId="164" xfId="0" applyAlignment="1" applyBorder="1" applyFont="1" applyNumberFormat="1">
      <alignment horizontal="left" readingOrder="0" vertical="bottom"/>
    </xf>
    <xf borderId="8" fillId="8" fontId="14" numFmtId="0" xfId="0" applyAlignment="1" applyBorder="1" applyFont="1">
      <alignment readingOrder="0" vertical="bottom"/>
    </xf>
    <xf borderId="8" fillId="8" fontId="15" numFmtId="164" xfId="0" applyAlignment="1" applyBorder="1" applyFont="1" applyNumberFormat="1">
      <alignment horizontal="left" readingOrder="0" vertical="bottom"/>
    </xf>
    <xf borderId="9" fillId="8" fontId="15" numFmtId="164" xfId="0" applyAlignment="1" applyBorder="1" applyFont="1" applyNumberFormat="1">
      <alignment vertical="bottom"/>
    </xf>
    <xf borderId="10" fillId="8" fontId="5" numFmtId="164" xfId="0" applyAlignment="1" applyBorder="1" applyFont="1" applyNumberFormat="1">
      <alignment vertical="bottom"/>
    </xf>
    <xf borderId="0" fillId="2" fontId="14" numFmtId="0" xfId="0" applyAlignment="1" applyFont="1">
      <alignment readingOrder="0" shrinkToFit="0" vertical="bottom" wrapText="0"/>
    </xf>
    <xf borderId="4" fillId="2" fontId="5" numFmtId="0" xfId="0" applyAlignment="1" applyBorder="1" applyFont="1">
      <alignment vertical="bottom"/>
    </xf>
    <xf borderId="4" fillId="2" fontId="5" numFmtId="164" xfId="0" applyAlignment="1" applyBorder="1" applyFont="1" applyNumberForma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14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10" numFmtId="0" xfId="0" applyAlignment="1" applyFont="1">
      <alignment readingOrder="0"/>
    </xf>
    <xf borderId="0" fillId="0" fontId="4" numFmtId="0" xfId="0" applyFont="1"/>
    <xf borderId="0" fillId="0" fontId="16" numFmtId="0" xfId="0" applyAlignment="1" applyFont="1">
      <alignment readingOrder="0" shrinkToFit="0" vertical="bottom" wrapText="1"/>
    </xf>
    <xf borderId="0" fillId="2" fontId="5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0" fontId="19" numFmtId="0" xfId="0" applyAlignment="1" applyFont="1">
      <alignment shrinkToFit="0" vertical="bottom" wrapText="0"/>
    </xf>
    <xf borderId="0" fillId="0" fontId="21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horizontal="right" vertical="bottom"/>
    </xf>
    <xf borderId="0" fillId="0" fontId="21" numFmtId="14" xfId="0" applyAlignment="1" applyFont="1" applyNumberFormat="1">
      <alignment shrinkToFit="0" vertical="bottom" wrapText="1"/>
    </xf>
    <xf borderId="0" fillId="2" fontId="21" numFmtId="0" xfId="0" applyAlignment="1" applyFont="1">
      <alignment vertical="bottom"/>
    </xf>
    <xf borderId="0" fillId="0" fontId="2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horizontal="right" readingOrder="0"/>
    </xf>
    <xf borderId="0" fillId="0" fontId="9" numFmtId="14" xfId="0" applyAlignment="1" applyFont="1" applyNumberFormat="1">
      <alignment horizontal="left" readingOrder="0" shrinkToFit="0" wrapText="1"/>
    </xf>
    <xf borderId="0" fillId="2" fontId="22" numFmtId="0" xfId="0" applyAlignment="1" applyFont="1">
      <alignment horizontal="left" readingOrder="0"/>
    </xf>
    <xf borderId="24" fillId="9" fontId="23" numFmtId="0" xfId="0" applyAlignment="1" applyBorder="1" applyFill="1" applyFont="1">
      <alignment horizontal="center" readingOrder="0"/>
    </xf>
    <xf borderId="25" fillId="9" fontId="23" numFmtId="0" xfId="0" applyAlignment="1" applyBorder="1" applyFont="1">
      <alignment horizontal="center" readingOrder="0"/>
    </xf>
    <xf borderId="10" fillId="0" fontId="5" numFmtId="0" xfId="0" applyAlignment="1" applyBorder="1" applyFont="1">
      <alignment vertical="bottom"/>
    </xf>
    <xf borderId="13" fillId="0" fontId="5" numFmtId="4" xfId="0" applyAlignment="1" applyBorder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0" fillId="0" fontId="5" numFmtId="4" xfId="0" applyAlignment="1" applyBorder="1" applyFont="1" applyNumberFormat="1">
      <alignment horizontal="right" readingOrder="0" vertical="bottom"/>
    </xf>
    <xf borderId="10" fillId="0" fontId="5" numFmtId="4" xfId="0" applyAlignment="1" applyBorder="1" applyFont="1" applyNumberFormat="1">
      <alignment horizontal="right" vertical="bottom"/>
    </xf>
    <xf borderId="11" fillId="0" fontId="5" numFmtId="0" xfId="0" applyAlignment="1" applyBorder="1" applyFont="1">
      <alignment readingOrder="0" vertical="bottom"/>
    </xf>
    <xf borderId="11" fillId="2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" fillId="0" fontId="1" numFmtId="0" xfId="0" applyBorder="1" applyFont="1"/>
    <xf borderId="1" fillId="0" fontId="1" numFmtId="4" xfId="0" applyBorder="1" applyFont="1" applyNumberFormat="1"/>
    <xf borderId="0" fillId="0" fontId="1" numFmtId="4" xfId="0" applyFont="1" applyNumberFormat="1"/>
    <xf borderId="0" fillId="10" fontId="1" numFmtId="0" xfId="0" applyAlignment="1" applyFill="1" applyFont="1">
      <alignment readingOrder="0"/>
    </xf>
    <xf borderId="0" fillId="10" fontId="1" numFmtId="0" xfId="0" applyFont="1"/>
    <xf borderId="0" fillId="0" fontId="24" numFmtId="0" xfId="0" applyFont="1"/>
    <xf borderId="0" fillId="7" fontId="6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5" fontId="5" numFmtId="49" xfId="0" applyAlignment="1" applyBorder="1" applyFont="1" applyNumberFormat="1">
      <alignment vertical="bottom"/>
    </xf>
    <xf borderId="1" fillId="4" fontId="5" numFmtId="0" xfId="0" applyAlignment="1" applyBorder="1" applyFont="1">
      <alignment vertical="bottom"/>
    </xf>
    <xf borderId="12" fillId="4" fontId="7" numFmtId="0" xfId="0" applyAlignment="1" applyBorder="1" applyFont="1">
      <alignment horizontal="center" vertical="top"/>
    </xf>
    <xf borderId="1" fillId="4" fontId="5" numFmtId="164" xfId="0" applyAlignment="1" applyBorder="1" applyFont="1" applyNumberFormat="1">
      <alignment shrinkToFit="0" vertical="bottom" wrapText="1"/>
    </xf>
    <xf borderId="12" fillId="0" fontId="5" numFmtId="10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vertical="top"/>
    </xf>
    <xf borderId="12" fillId="5" fontId="5" numFmtId="4" xfId="0" applyAlignment="1" applyBorder="1" applyFont="1" applyNumberFormat="1">
      <alignment readingOrder="0"/>
    </xf>
    <xf borderId="1" fillId="2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2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center" shrinkToFit="0" vertical="bottom" wrapText="1"/>
    </xf>
    <xf borderId="1" fillId="7" fontId="6" numFmtId="164" xfId="0" applyAlignment="1" applyBorder="1" applyFont="1" applyNumberFormat="1">
      <alignment horizontal="right" vertical="top"/>
    </xf>
    <xf borderId="0" fillId="2" fontId="24" numFmtId="0" xfId="0" applyAlignment="1" applyFont="1">
      <alignment readingOrder="0"/>
    </xf>
    <xf borderId="12" fillId="7" fontId="6" numFmtId="0" xfId="0" applyAlignment="1" applyBorder="1" applyFont="1">
      <alignment horizontal="center" vertical="bottom"/>
    </xf>
    <xf borderId="0" fillId="2" fontId="24" numFmtId="0" xfId="0" applyFont="1"/>
    <xf borderId="12" fillId="4" fontId="7" numFmtId="0" xfId="0" applyAlignment="1" applyBorder="1" applyFont="1">
      <alignment horizontal="center" vertical="top"/>
    </xf>
    <xf borderId="12" fillId="0" fontId="5" numFmtId="10" xfId="0" applyAlignment="1" applyBorder="1" applyFont="1" applyNumberForma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horizontal="center" vertical="top"/>
    </xf>
    <xf borderId="1" fillId="5" fontId="5" numFmtId="49" xfId="0" applyAlignment="1" applyBorder="1" applyFont="1" applyNumberFormat="1">
      <alignment vertical="top"/>
    </xf>
    <xf borderId="1" fillId="5" fontId="5" numFmtId="3" xfId="0" applyAlignment="1" applyBorder="1" applyFont="1" applyNumberFormat="1">
      <alignment vertical="bottom"/>
    </xf>
    <xf borderId="12" fillId="11" fontId="6" numFmtId="0" xfId="0" applyAlignment="1" applyBorder="1" applyFill="1" applyFont="1">
      <alignment horizontal="center" vertical="bottom"/>
    </xf>
    <xf borderId="1" fillId="2" fontId="25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right" shrinkToFit="0" vertical="bottom" wrapText="1"/>
    </xf>
    <xf borderId="1" fillId="2" fontId="25" numFmtId="0" xfId="0" applyAlignment="1" applyBorder="1" applyFont="1">
      <alignment horizontal="right" vertical="bottom"/>
    </xf>
    <xf borderId="12" fillId="0" fontId="24" numFmtId="0" xfId="0" applyAlignment="1" applyBorder="1" applyFont="1">
      <alignment shrinkToFit="0" wrapText="1"/>
    </xf>
    <xf borderId="12" fillId="0" fontId="24" numFmtId="0" xfId="0" applyAlignment="1" applyBorder="1" applyFont="1">
      <alignment horizontal="center" shrinkToFit="0" wrapText="1"/>
    </xf>
    <xf borderId="12" fillId="2" fontId="0" numFmtId="0" xfId="0" applyAlignment="1" applyBorder="1" applyFont="1">
      <alignment horizontal="left" shrinkToFit="0" wrapText="1"/>
    </xf>
    <xf borderId="1" fillId="7" fontId="6" numFmtId="0" xfId="0" applyAlignment="1" applyBorder="1" applyFont="1">
      <alignment vertical="top"/>
    </xf>
    <xf borderId="0" fillId="6" fontId="5" numFmtId="10" xfId="0" applyAlignment="1" applyFont="1" applyNumberFormat="1">
      <alignment vertical="bottom"/>
    </xf>
    <xf borderId="12" fillId="11" fontId="26" numFmtId="0" xfId="0" applyAlignment="1" applyBorder="1" applyFont="1">
      <alignment horizontal="center" vertical="bottom"/>
    </xf>
    <xf borderId="12" fillId="7" fontId="6" numFmtId="0" xfId="0" applyAlignment="1" applyBorder="1" applyFont="1">
      <alignment horizontal="center" readingOrder="0" vertical="bottom"/>
    </xf>
    <xf borderId="1" fillId="5" fontId="5" numFmtId="49" xfId="0" applyAlignment="1" applyBorder="1" applyFont="1" applyNumberFormat="1">
      <alignment horizontal="center" readingOrder="0" vertical="bottom"/>
    </xf>
    <xf borderId="1" fillId="5" fontId="5" numFmtId="3" xfId="0" applyAlignment="1" applyBorder="1" applyFont="1" applyNumberFormat="1">
      <alignment horizontal="center" readingOrder="0" vertical="bottom"/>
    </xf>
    <xf borderId="1" fillId="5" fontId="5" numFmtId="4" xfId="0" applyAlignment="1" applyBorder="1" applyFont="1" applyNumberFormat="1">
      <alignment vertical="bottom"/>
    </xf>
    <xf borderId="12" fillId="4" fontId="5" numFmtId="0" xfId="0" applyAlignment="1" applyBorder="1" applyFont="1">
      <alignment horizontal="center" readingOrder="0" vertical="bottom"/>
    </xf>
    <xf borderId="1" fillId="5" fontId="5" numFmtId="4" xfId="0" applyAlignment="1" applyBorder="1" applyFont="1" applyNumberFormat="1">
      <alignment readingOrder="0"/>
    </xf>
    <xf borderId="1" fillId="7" fontId="27" numFmtId="164" xfId="0" applyAlignment="1" applyBorder="1" applyFont="1" applyNumberFormat="1">
      <alignment vertical="top"/>
    </xf>
    <xf borderId="1" fillId="7" fontId="27" numFmtId="0" xfId="0" applyAlignment="1" applyBorder="1" applyFont="1">
      <alignment vertical="top"/>
    </xf>
    <xf borderId="1" fillId="0" fontId="5" numFmtId="0" xfId="0" applyAlignment="1" applyBorder="1" applyFont="1">
      <alignment horizontal="right" vertical="bottom"/>
    </xf>
    <xf borderId="1" fillId="0" fontId="5" numFmtId="10" xfId="0" applyAlignment="1" applyBorder="1" applyFont="1" applyNumberFormat="1">
      <alignment horizontal="center" vertical="bottom"/>
    </xf>
    <xf borderId="12" fillId="4" fontId="5" numFmtId="0" xfId="0" applyAlignment="1" applyBorder="1" applyFont="1">
      <alignment vertical="bottom"/>
    </xf>
    <xf borderId="12" fillId="2" fontId="5" numFmtId="0" xfId="0" applyAlignment="1" applyBorder="1" applyFont="1">
      <alignment horizontal="center" vertical="bottom"/>
    </xf>
    <xf borderId="1" fillId="2" fontId="5" numFmtId="164" xfId="0" applyAlignment="1" applyBorder="1" applyFont="1" applyNumberFormat="1">
      <alignment horizontal="right" vertical="bottom"/>
    </xf>
    <xf borderId="1" fillId="4" fontId="5" numFmtId="0" xfId="0" applyAlignment="1" applyBorder="1" applyFont="1">
      <alignment vertical="top"/>
    </xf>
    <xf borderId="1" fillId="4" fontId="28" numFmtId="4" xfId="0" applyAlignment="1" applyBorder="1" applyFont="1" applyNumberFormat="1">
      <alignment readingOrder="0" shrinkToFit="0" vertical="bottom" wrapText="1"/>
    </xf>
    <xf borderId="0" fillId="6" fontId="5" numFmtId="0" xfId="0" applyAlignment="1" applyFont="1">
      <alignment vertical="bottom"/>
    </xf>
    <xf borderId="0" fillId="6" fontId="24" numFmtId="0" xfId="0" applyFont="1"/>
    <xf borderId="12" fillId="0" fontId="24" numFmtId="0" xfId="0" applyAlignment="1" applyBorder="1" applyFont="1">
      <alignment horizontal="center" readingOrder="0"/>
    </xf>
    <xf borderId="1" fillId="5" fontId="24" numFmtId="49" xfId="0" applyAlignment="1" applyBorder="1" applyFont="1" applyNumberFormat="1">
      <alignment horizontal="right" readingOrder="0"/>
    </xf>
    <xf borderId="14" fillId="5" fontId="24" numFmtId="49" xfId="0" applyAlignment="1" applyBorder="1" applyFont="1" applyNumberFormat="1">
      <alignment horizontal="right" readingOrder="0"/>
    </xf>
    <xf borderId="1" fillId="4" fontId="1" numFmtId="0" xfId="0" applyAlignment="1" applyBorder="1" applyFont="1">
      <alignment readingOrder="0"/>
    </xf>
    <xf borderId="1" fillId="5" fontId="24" numFmtId="3" xfId="0" applyAlignment="1" applyBorder="1" applyFont="1" applyNumberFormat="1">
      <alignment horizontal="center" readingOrder="0"/>
    </xf>
    <xf borderId="12" fillId="4" fontId="7" numFmtId="0" xfId="0" applyAlignment="1" applyBorder="1" applyFont="1">
      <alignment horizontal="center" readingOrder="0" vertical="top"/>
    </xf>
    <xf borderId="1" fillId="4" fontId="24" numFmtId="164" xfId="0" applyAlignment="1" applyBorder="1" applyFont="1" applyNumberFormat="1">
      <alignment readingOrder="0" shrinkToFit="0" wrapText="1"/>
    </xf>
    <xf borderId="12" fillId="0" fontId="24" numFmtId="10" xfId="0" applyAlignment="1" applyBorder="1" applyFont="1" applyNumberFormat="1">
      <alignment horizontal="center" readingOrder="0"/>
    </xf>
    <xf borderId="1" fillId="7" fontId="11" numFmtId="0" xfId="0" applyAlignment="1" applyBorder="1" applyFont="1">
      <alignment horizontal="left" vertical="top"/>
    </xf>
    <xf borderId="0" fillId="6" fontId="24" numFmtId="10" xfId="0" applyAlignment="1" applyFont="1" applyNumberFormat="1">
      <alignment horizontal="center" readingOrder="0"/>
    </xf>
    <xf borderId="1" fillId="0" fontId="24" numFmtId="0" xfId="0" applyAlignment="1" applyBorder="1" applyFont="1">
      <alignment readingOrder="0"/>
    </xf>
    <xf borderId="1" fillId="0" fontId="24" numFmtId="0" xfId="0" applyBorder="1" applyFont="1"/>
    <xf borderId="0" fillId="0" fontId="24" numFmtId="49" xfId="0" applyAlignment="1" applyFont="1" applyNumberFormat="1">
      <alignment readingOrder="0"/>
    </xf>
    <xf borderId="0" fillId="0" fontId="24" numFmtId="4" xfId="0" applyFont="1" applyNumberFormat="1"/>
    <xf borderId="1" fillId="4" fontId="28" numFmtId="4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4</xdr:row>
      <xdr:rowOff>114300</xdr:rowOff>
    </xdr:from>
    <xdr:ext cx="581025" cy="7048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13</xdr:row>
      <xdr:rowOff>133350</xdr:rowOff>
    </xdr:from>
    <xdr:ext cx="857250" cy="781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</xdr:row>
      <xdr:rowOff>76200</xdr:rowOff>
    </xdr:from>
    <xdr:ext cx="628650" cy="7810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8</xdr:row>
      <xdr:rowOff>238125</xdr:rowOff>
    </xdr:from>
    <xdr:ext cx="628650" cy="704850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9</xdr:row>
      <xdr:rowOff>28575</xdr:rowOff>
    </xdr:from>
    <xdr:ext cx="581025" cy="704850"/>
    <xdr:pic>
      <xdr:nvPicPr>
        <xdr:cNvPr id="0" name="image6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1066800</xdr:colOff>
      <xdr:row>9</xdr:row>
      <xdr:rowOff>9525</xdr:rowOff>
    </xdr:from>
    <xdr:ext cx="847725" cy="7048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13</xdr:row>
      <xdr:rowOff>133350</xdr:rowOff>
    </xdr:from>
    <xdr:ext cx="628650" cy="781050"/>
    <xdr:pic>
      <xdr:nvPicPr>
        <xdr:cNvPr id="0" name="image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57525" cy="1114425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  <c r="D1" s="2">
        <f>IF(Principal!F2="Bancada",13,IF(Principal!F2="Ilharga",12,IF(Principal!F2="Cuba",11,IF(Principal!F2="Peitoril",10,IF(Principal!F2="Tento do Box",9,IF(Principal!F2="Soleira/Filete",8,IF(Principal!F2="Chapim",7,IF(Principal!F2="Requadro Porta",6,IF(Principal!F2="Nicho",5,IF(Principal!F2="Requadro Janela",4,IF(Principal!F2="Rodapé",3,IF(Principal!F2="Piso",2,IF(Principal!F2="Escada",1,0)))))))))))))</f>
        <v>13</v>
      </c>
    </row>
    <row r="2">
      <c r="A2" s="2" t="str">
        <f>Principal!$B$7</f>
        <v>AMARELO FLORENÇA</v>
      </c>
      <c r="B2" s="1" t="s">
        <v>1</v>
      </c>
      <c r="D2" s="3" t="s">
        <v>2</v>
      </c>
    </row>
    <row r="3">
      <c r="A3" s="1" t="s">
        <v>0</v>
      </c>
      <c r="D3" s="4" t="s">
        <v>1</v>
      </c>
      <c r="F3" s="5"/>
      <c r="G3" s="6"/>
      <c r="H3" s="6"/>
      <c r="I3" s="7"/>
    </row>
    <row r="4">
      <c r="A4" s="2" t="str">
        <f>Principal!B11</f>
        <v>Front lateral?</v>
      </c>
      <c r="B4" s="1" t="s">
        <v>3</v>
      </c>
      <c r="D4" s="4" t="s">
        <v>3</v>
      </c>
      <c r="F4" s="8"/>
      <c r="I4" s="9"/>
    </row>
    <row r="5">
      <c r="A5" s="1" t="s">
        <v>0</v>
      </c>
      <c r="D5" s="4" t="s">
        <v>4</v>
      </c>
      <c r="F5" s="8"/>
      <c r="I5" s="9"/>
    </row>
    <row r="6">
      <c r="A6" s="2" t="str">
        <f>Principal!$B$13</f>
        <v>Total</v>
      </c>
      <c r="B6" s="1" t="s">
        <v>5</v>
      </c>
      <c r="D6" s="4" t="s">
        <v>5</v>
      </c>
      <c r="F6" s="8"/>
      <c r="I6" s="9"/>
    </row>
    <row r="7">
      <c r="A7" s="1" t="s">
        <v>0</v>
      </c>
      <c r="D7" s="4" t="s">
        <v>6</v>
      </c>
      <c r="F7" s="8"/>
      <c r="I7" s="9"/>
    </row>
    <row r="8">
      <c r="A8" s="2" t="str">
        <f>Principal!B16</f>
        <v/>
      </c>
      <c r="B8" s="1" t="s">
        <v>6</v>
      </c>
      <c r="D8" s="4" t="s">
        <v>7</v>
      </c>
      <c r="F8" s="8"/>
      <c r="I8" s="9"/>
    </row>
    <row r="9">
      <c r="A9" s="1" t="s">
        <v>0</v>
      </c>
      <c r="D9" s="4" t="s">
        <v>8</v>
      </c>
      <c r="F9" s="8"/>
      <c r="I9" s="9"/>
    </row>
    <row r="10">
      <c r="A10" s="2" t="str">
        <f>Principal!B13</f>
        <v>Total</v>
      </c>
      <c r="B10" s="1" t="s">
        <v>7</v>
      </c>
      <c r="D10" s="4" t="s">
        <v>9</v>
      </c>
      <c r="F10" s="8"/>
      <c r="I10" s="9"/>
    </row>
    <row r="11">
      <c r="A11" s="1" t="s">
        <v>0</v>
      </c>
      <c r="D11" s="4" t="s">
        <v>10</v>
      </c>
      <c r="F11" s="8"/>
      <c r="I11" s="9"/>
    </row>
    <row r="12">
      <c r="A12" s="2" t="str">
        <f>Principal!B16</f>
        <v/>
      </c>
      <c r="B12" s="1" t="s">
        <v>8</v>
      </c>
      <c r="D12" s="4" t="s">
        <v>11</v>
      </c>
      <c r="F12" s="8"/>
      <c r="I12" s="9"/>
    </row>
    <row r="13">
      <c r="A13" s="1" t="s">
        <v>0</v>
      </c>
      <c r="D13" s="4" t="s">
        <v>12</v>
      </c>
      <c r="F13" s="8"/>
      <c r="I13" s="9"/>
    </row>
    <row r="14">
      <c r="A14" s="10" t="str">
        <f>Principal!B13</f>
        <v>Total</v>
      </c>
      <c r="B14" s="1" t="s">
        <v>9</v>
      </c>
      <c r="D14" s="4" t="s">
        <v>13</v>
      </c>
      <c r="F14" s="8"/>
      <c r="I14" s="9"/>
    </row>
    <row r="15">
      <c r="A15" s="1" t="s">
        <v>0</v>
      </c>
      <c r="D15" s="4" t="s">
        <v>14</v>
      </c>
      <c r="F15" s="11"/>
      <c r="G15" s="12"/>
      <c r="H15" s="12"/>
      <c r="I15" s="13"/>
    </row>
    <row r="16">
      <c r="A16" s="10" t="str">
        <f>Principal!B7</f>
        <v>AMARELO FLORENÇA</v>
      </c>
      <c r="B16" s="1" t="s">
        <v>10</v>
      </c>
      <c r="D16" s="4" t="s">
        <v>15</v>
      </c>
    </row>
    <row r="17">
      <c r="A17" s="1" t="s">
        <v>0</v>
      </c>
      <c r="D17" s="4" t="s">
        <v>16</v>
      </c>
    </row>
    <row r="18">
      <c r="A18" s="10" t="str">
        <f>Principal!B14</f>
        <v/>
      </c>
      <c r="B18" s="1" t="s">
        <v>11</v>
      </c>
      <c r="D18" s="4" t="s">
        <v>17</v>
      </c>
    </row>
    <row r="19">
      <c r="A19" s="1" t="s">
        <v>0</v>
      </c>
      <c r="D19" s="4" t="s">
        <v>18</v>
      </c>
    </row>
    <row r="20">
      <c r="A20" s="10" t="str">
        <f>Principal!B16</f>
        <v/>
      </c>
      <c r="B20" s="1" t="s">
        <v>12</v>
      </c>
      <c r="D20" s="4" t="s">
        <v>19</v>
      </c>
    </row>
    <row r="21">
      <c r="A21" s="1" t="s">
        <v>0</v>
      </c>
      <c r="D21" s="4" t="s">
        <v>20</v>
      </c>
    </row>
    <row r="22">
      <c r="A22" s="2" t="str">
        <f>Principal!B16</f>
        <v/>
      </c>
      <c r="B22" s="1" t="s">
        <v>13</v>
      </c>
      <c r="D22" s="4" t="s">
        <v>21</v>
      </c>
    </row>
    <row r="23">
      <c r="A23" s="1" t="s">
        <v>0</v>
      </c>
      <c r="D23" s="4" t="s">
        <v>22</v>
      </c>
    </row>
    <row r="24">
      <c r="A24" s="10" t="str">
        <f>Principal!B5</f>
        <v>BANCADA</v>
      </c>
      <c r="B24" s="1" t="s">
        <v>14</v>
      </c>
      <c r="D24" s="14"/>
    </row>
    <row r="25">
      <c r="A25" s="1" t="s">
        <v>0</v>
      </c>
      <c r="D25" s="14"/>
    </row>
    <row r="26">
      <c r="A26" s="2" t="str">
        <f>Principal!B12</f>
        <v>Front?</v>
      </c>
      <c r="B26" s="1" t="s">
        <v>15</v>
      </c>
      <c r="D26" s="14"/>
    </row>
    <row r="27">
      <c r="A27" s="1" t="s">
        <v>0</v>
      </c>
      <c r="D27" s="15"/>
    </row>
    <row r="28">
      <c r="A28" s="2" t="str">
        <f>Principal!$B$7</f>
        <v>AMARELO FLORENÇA</v>
      </c>
      <c r="B28" s="1" t="s">
        <v>16</v>
      </c>
    </row>
    <row r="29">
      <c r="A29" s="1" t="s">
        <v>0</v>
      </c>
    </row>
    <row r="30">
      <c r="A30" s="2" t="str">
        <f>Principal!B13</f>
        <v>Total</v>
      </c>
      <c r="B30" s="1" t="s">
        <v>17</v>
      </c>
    </row>
    <row r="31">
      <c r="A31" s="1" t="s">
        <v>0</v>
      </c>
    </row>
    <row r="32">
      <c r="A32" s="2" t="str">
        <f>Principal!B7</f>
        <v>AMARELO FLORENÇA</v>
      </c>
      <c r="B32" s="1" t="s">
        <v>18</v>
      </c>
    </row>
    <row r="33">
      <c r="A33" s="1" t="s">
        <v>0</v>
      </c>
    </row>
    <row r="34">
      <c r="A34" s="2" t="str">
        <f>Principal!B16</f>
        <v/>
      </c>
      <c r="B34" s="1" t="s">
        <v>19</v>
      </c>
    </row>
    <row r="35">
      <c r="A35" s="1" t="s">
        <v>0</v>
      </c>
    </row>
    <row r="36">
      <c r="A36" s="2" t="str">
        <f>Principal!B16</f>
        <v/>
      </c>
      <c r="B36" s="1" t="s">
        <v>20</v>
      </c>
    </row>
    <row r="37">
      <c r="A37" s="1" t="s">
        <v>0</v>
      </c>
    </row>
    <row r="38">
      <c r="A38" s="2" t="str">
        <f>Principal!B11</f>
        <v>Front lateral?</v>
      </c>
      <c r="B38" s="1" t="s">
        <v>21</v>
      </c>
    </row>
    <row r="39">
      <c r="A39" s="1" t="s">
        <v>0</v>
      </c>
    </row>
    <row r="40">
      <c r="A40" s="2" t="str">
        <f>Principal!B10</f>
        <v>Saia frontal?</v>
      </c>
      <c r="B40" s="1" t="s">
        <v>22</v>
      </c>
    </row>
  </sheetData>
  <mergeCells count="1">
    <mergeCell ref="F3:I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38"/>
    <col customWidth="1" min="3" max="3" width="18.5"/>
    <col customWidth="1" min="4" max="4" width="20.0"/>
    <col customWidth="1" min="5" max="5" width="15.75"/>
    <col customWidth="1" min="6" max="6" width="21.38"/>
    <col customWidth="1" min="7" max="7" width="3.5"/>
    <col customWidth="1" min="8" max="8" width="27.13"/>
    <col customWidth="1" min="9" max="9" width="9.88"/>
    <col customWidth="1" min="10" max="11" width="14.5"/>
    <col customWidth="1" min="12" max="13" width="13.88"/>
  </cols>
  <sheetData>
    <row r="1" ht="6.0" customHeight="1">
      <c r="A1" s="16" t="s">
        <v>23</v>
      </c>
      <c r="I1" s="1">
        <v>300.0</v>
      </c>
    </row>
    <row r="2">
      <c r="A2" s="17" t="s">
        <v>24</v>
      </c>
      <c r="B2" s="18" t="s">
        <v>25</v>
      </c>
      <c r="C2" s="6"/>
      <c r="D2" s="6"/>
      <c r="E2" s="6"/>
      <c r="F2" s="19" t="s">
        <v>1</v>
      </c>
      <c r="G2" s="20"/>
      <c r="H2" s="21" t="s">
        <v>26</v>
      </c>
      <c r="I2" s="22">
        <v>0.0</v>
      </c>
    </row>
    <row r="3">
      <c r="A3" s="8"/>
      <c r="B3" s="23"/>
      <c r="C3" s="23"/>
      <c r="D3" s="23"/>
      <c r="E3" s="23"/>
      <c r="F3" s="23"/>
      <c r="G3" s="9"/>
    </row>
    <row r="4">
      <c r="A4" s="8"/>
      <c r="B4" s="23"/>
      <c r="C4" s="23"/>
      <c r="D4" s="23"/>
      <c r="E4" s="23"/>
      <c r="F4" s="23"/>
      <c r="G4" s="9"/>
      <c r="H4" s="24" t="s">
        <v>27</v>
      </c>
      <c r="I4" s="25">
        <v>0.3</v>
      </c>
    </row>
    <row r="5">
      <c r="A5" s="8"/>
      <c r="B5" s="26" t="s">
        <v>28</v>
      </c>
      <c r="C5" s="27"/>
      <c r="D5" s="27"/>
      <c r="E5" s="28"/>
      <c r="F5" s="23"/>
      <c r="G5" s="9"/>
      <c r="H5" s="29" t="b">
        <v>0</v>
      </c>
      <c r="J5" s="30"/>
      <c r="K5" s="31"/>
      <c r="L5" s="32"/>
    </row>
    <row r="6">
      <c r="A6" s="8"/>
      <c r="B6" s="33" t="s">
        <v>29</v>
      </c>
      <c r="C6" s="34" t="s">
        <v>30</v>
      </c>
      <c r="D6" s="34" t="s">
        <v>31</v>
      </c>
      <c r="E6" s="35" t="s">
        <v>32</v>
      </c>
      <c r="F6" s="36">
        <v>1.0</v>
      </c>
      <c r="G6" s="9"/>
      <c r="J6" s="37"/>
      <c r="L6" s="38"/>
    </row>
    <row r="7">
      <c r="A7" s="8"/>
      <c r="B7" s="39" t="s">
        <v>33</v>
      </c>
      <c r="C7" s="27"/>
      <c r="D7" s="28"/>
      <c r="E7" s="40">
        <v>800.0</v>
      </c>
      <c r="F7" s="23"/>
      <c r="G7" s="9"/>
      <c r="H7" s="41" t="s">
        <v>34</v>
      </c>
      <c r="I7" s="42">
        <v>0.0</v>
      </c>
      <c r="J7" s="37"/>
      <c r="L7" s="38"/>
    </row>
    <row r="8">
      <c r="A8" s="8"/>
      <c r="B8" s="43">
        <v>1.2</v>
      </c>
      <c r="C8" s="28"/>
      <c r="D8" s="44" t="str">
        <f>IF(E8=TRUE,"111%","100%")</f>
        <v>111%</v>
      </c>
      <c r="E8" s="45" t="b">
        <v>1</v>
      </c>
      <c r="F8" s="23"/>
      <c r="G8" s="9"/>
      <c r="J8" s="37"/>
      <c r="L8" s="38"/>
    </row>
    <row r="9">
      <c r="A9" s="8"/>
      <c r="B9" s="35" t="s">
        <v>35</v>
      </c>
      <c r="C9" s="46">
        <v>0.0</v>
      </c>
      <c r="D9" s="34"/>
      <c r="E9" s="34"/>
      <c r="F9" s="23"/>
      <c r="G9" s="9"/>
      <c r="J9" s="37"/>
      <c r="L9" s="38"/>
    </row>
    <row r="10">
      <c r="A10" s="8"/>
      <c r="B10" s="35" t="s">
        <v>36</v>
      </c>
      <c r="C10" s="46">
        <v>1.0</v>
      </c>
      <c r="D10" s="34" t="s">
        <v>37</v>
      </c>
      <c r="E10" s="34" t="s">
        <v>38</v>
      </c>
      <c r="F10" s="23"/>
      <c r="G10" s="9"/>
      <c r="H10" s="47"/>
      <c r="J10" s="37"/>
      <c r="L10" s="38"/>
    </row>
    <row r="11">
      <c r="A11" s="8"/>
      <c r="B11" s="35" t="s">
        <v>39</v>
      </c>
      <c r="C11" s="46">
        <v>1.0</v>
      </c>
      <c r="D11" s="34" t="s">
        <v>31</v>
      </c>
      <c r="E11" s="34" t="s">
        <v>40</v>
      </c>
      <c r="F11" s="23"/>
      <c r="G11" s="9"/>
      <c r="H11" s="47"/>
      <c r="J11" s="37"/>
      <c r="L11" s="38"/>
    </row>
    <row r="12">
      <c r="A12" s="8"/>
      <c r="B12" s="35" t="s">
        <v>41</v>
      </c>
      <c r="C12" s="34" t="s">
        <v>37</v>
      </c>
      <c r="D12" s="34" t="s">
        <v>40</v>
      </c>
      <c r="E12" s="35" t="s">
        <v>32</v>
      </c>
      <c r="F12" s="36">
        <v>1.0</v>
      </c>
      <c r="G12" s="9"/>
      <c r="J12" s="37"/>
      <c r="L12" s="38"/>
    </row>
    <row r="13">
      <c r="A13" s="8"/>
      <c r="B13" s="35" t="s">
        <v>42</v>
      </c>
      <c r="C13" s="48" t="str">
        <f>IF(F6&gt;1,F6&amp;" Bancadas de "&amp;C6&amp;"x"&amp;D6&amp;"m²",IF(F6=1,"Bancada: "&amp;C6&amp;"x"&amp;D6&amp;"m²"," "))</f>
        <v>Bancada: 2,00x0,50m²</v>
      </c>
      <c r="D13" s="49">
        <f>IF(D6&gt;0,(C6*D6)*B8*D8*E7*F6," ")</f>
        <v>1065.6</v>
      </c>
      <c r="E13" s="23"/>
      <c r="F13" s="23"/>
      <c r="G13" s="9"/>
      <c r="J13" s="37"/>
      <c r="L13" s="38"/>
    </row>
    <row r="14">
      <c r="A14" s="8"/>
      <c r="B14" s="23"/>
      <c r="C14" s="48" t="str">
        <f>IF(C9&gt;1," + "&amp;C9&amp;" Saias Lat. de "&amp;D9&amp;"x"&amp;E9&amp;" m²",IF(C9=1," + "&amp;C9&amp;" Saia Lat. "&amp;D9&amp;"x"&amp;E9&amp;" m²",""))</f>
        <v/>
      </c>
      <c r="D14" s="50" t="str">
        <f>IF(E9&gt;0,(D9*E9)*B8*D8*E7*C9," ")</f>
        <v> </v>
      </c>
      <c r="E14" s="23"/>
      <c r="F14" s="23"/>
      <c r="G14" s="9"/>
      <c r="J14" s="37"/>
      <c r="L14" s="38"/>
    </row>
    <row r="15">
      <c r="A15" s="8"/>
      <c r="B15" s="23"/>
      <c r="C15" s="48" t="str">
        <f>IF(C10&gt;1," + "&amp;C10&amp;" Saias frontais de "&amp;D10&amp;"x"&amp;E10&amp;"m²",IF(C10=1," + "&amp;C10&amp;" Saia frontal "&amp;D10&amp;"x"&amp;E10&amp;"m²",""))</f>
        <v> + 1 Saia frontal 1,50x0,10m²</v>
      </c>
      <c r="D15" s="49">
        <f>IF(E10&gt;0,D10*E10*B8*D8*E7*C10," ")</f>
        <v>159.84</v>
      </c>
      <c r="E15" s="23"/>
      <c r="F15" s="23"/>
      <c r="G15" s="9"/>
      <c r="J15" s="37"/>
      <c r="L15" s="38"/>
    </row>
    <row r="16">
      <c r="A16" s="8"/>
      <c r="B16" s="23"/>
      <c r="C16" s="48" t="str">
        <f>IF(C11&gt;1," + "&amp;C11&amp;" Frontes lat. de "&amp;D11&amp;"x"&amp;E11&amp;"m²",IF(C11=1," + "&amp;C11&amp;" Front lat. "&amp;D11&amp;"x"&amp;E11&amp;"m²",""))</f>
        <v> + 1 Front lat. 0,50x0,20m²</v>
      </c>
      <c r="D16" s="49">
        <f>IF(E11&gt;0,C11*D11*E11*B8*D8*E7," ")</f>
        <v>106.56</v>
      </c>
      <c r="E16" s="23"/>
      <c r="F16" s="23"/>
      <c r="G16" s="9"/>
      <c r="J16" s="37"/>
      <c r="L16" s="38"/>
    </row>
    <row r="17">
      <c r="A17" s="8"/>
      <c r="B17" s="23"/>
      <c r="C17" s="48" t="str">
        <f>IF(F12&gt;1," + "&amp;F12&amp;" Frontes de "&amp;C12&amp;"x"&amp;D12&amp;"m²",IF(F12=1," + Front de "&amp;C12&amp;"x"&amp;D12&amp;"m²"," "))</f>
        <v> + Front de 1,50x0,20m²</v>
      </c>
      <c r="D17" s="49">
        <f>IF(D12&gt;0,C12*D12*B8*D8*E7*F12," ")</f>
        <v>319.68</v>
      </c>
      <c r="E17" s="23"/>
      <c r="F17" s="23"/>
      <c r="G17" s="9"/>
      <c r="H17" s="51"/>
      <c r="J17" s="37"/>
      <c r="L17" s="38"/>
    </row>
    <row r="18">
      <c r="A18" s="8"/>
      <c r="B18" s="52" t="str">
        <f>C13&amp;C14&amp;C15&amp;C16&amp;C17</f>
        <v>Bancada: 2,00x0,50m² + 1 Saia frontal 1,50x0,10m² + 1 Front lat. 0,50x0,20m² + Front de 1,50x0,20m²</v>
      </c>
      <c r="C18" s="28"/>
      <c r="D18" s="53">
        <f>SUM(D13:D17)</f>
        <v>1651.68</v>
      </c>
      <c r="E18" s="23"/>
      <c r="F18" s="23"/>
      <c r="G18" s="9"/>
      <c r="J18" s="54"/>
      <c r="K18" s="55"/>
      <c r="L18" s="56"/>
    </row>
    <row r="19">
      <c r="A19" s="11"/>
      <c r="B19" s="57"/>
      <c r="C19" s="12"/>
      <c r="D19" s="12"/>
      <c r="E19" s="12"/>
      <c r="F19" s="12"/>
      <c r="G19" s="13"/>
    </row>
    <row r="20">
      <c r="A20" s="58" t="s">
        <v>43</v>
      </c>
      <c r="B20" s="6"/>
      <c r="C20" s="6"/>
      <c r="D20" s="6"/>
      <c r="E20" s="6"/>
      <c r="F20" s="6"/>
      <c r="G20" s="7"/>
    </row>
    <row r="21">
      <c r="B21" s="59"/>
      <c r="C21" s="59"/>
      <c r="D21" s="59"/>
      <c r="E21" s="59"/>
      <c r="F21" s="60"/>
    </row>
    <row r="22">
      <c r="B22" s="61" t="s">
        <v>44</v>
      </c>
      <c r="C22" s="27"/>
      <c r="D22" s="27"/>
      <c r="E22" s="28"/>
      <c r="F22" s="62" t="s">
        <v>45</v>
      </c>
      <c r="G22" s="28"/>
      <c r="H22" s="63">
        <f>SUM(F22:F33)</f>
        <v>5964.9855</v>
      </c>
    </row>
    <row r="23">
      <c r="B23" s="64" t="s">
        <v>46</v>
      </c>
      <c r="C23" s="27"/>
      <c r="D23" s="27"/>
      <c r="E23" s="28"/>
      <c r="F23" s="65" t="s">
        <v>47</v>
      </c>
      <c r="G23" s="27"/>
      <c r="H23" s="28"/>
    </row>
    <row r="24">
      <c r="B24" s="66" t="s">
        <v>48</v>
      </c>
      <c r="E24" s="9"/>
      <c r="F24" s="67">
        <v>1618.3800000000003</v>
      </c>
      <c r="H24" s="9"/>
    </row>
    <row r="25">
      <c r="B25" s="66" t="s">
        <v>49</v>
      </c>
      <c r="E25" s="9"/>
      <c r="F25" s="67">
        <v>431.5680000000001</v>
      </c>
      <c r="H25" s="9"/>
    </row>
    <row r="26">
      <c r="B26" s="66" t="s">
        <v>50</v>
      </c>
      <c r="E26" s="9"/>
      <c r="F26" s="68">
        <v>959.04</v>
      </c>
      <c r="H26" s="9"/>
    </row>
    <row r="27">
      <c r="B27" s="66" t="s">
        <v>51</v>
      </c>
      <c r="E27" s="9"/>
      <c r="F27" s="67">
        <v>38.4615</v>
      </c>
      <c r="H27" s="9"/>
    </row>
    <row r="28">
      <c r="B28" s="64" t="s">
        <v>52</v>
      </c>
      <c r="C28" s="27"/>
      <c r="D28" s="27"/>
      <c r="E28" s="28"/>
      <c r="F28" s="65" t="s">
        <v>53</v>
      </c>
      <c r="G28" s="27"/>
      <c r="H28" s="28"/>
    </row>
    <row r="29">
      <c r="B29" s="66" t="s">
        <v>51</v>
      </c>
      <c r="E29" s="9"/>
      <c r="F29" s="67">
        <v>34.188</v>
      </c>
      <c r="H29" s="9"/>
    </row>
    <row r="30">
      <c r="B30" s="66" t="s">
        <v>54</v>
      </c>
      <c r="E30" s="9"/>
      <c r="F30" s="67">
        <v>1150.8480000000002</v>
      </c>
      <c r="H30" s="9"/>
    </row>
    <row r="31">
      <c r="B31" s="66" t="s">
        <v>55</v>
      </c>
      <c r="E31" s="9"/>
      <c r="F31" s="67">
        <v>372.96000000000004</v>
      </c>
      <c r="H31" s="9"/>
    </row>
    <row r="32">
      <c r="B32" s="69" t="s">
        <v>56</v>
      </c>
      <c r="E32" s="9"/>
      <c r="F32" s="68">
        <v>1359.54</v>
      </c>
      <c r="H32" s="9"/>
    </row>
    <row r="33">
      <c r="B33" s="64"/>
      <c r="C33" s="27"/>
      <c r="D33" s="27"/>
      <c r="E33" s="28"/>
      <c r="F33" s="70"/>
      <c r="G33" s="27"/>
      <c r="H33" s="28"/>
    </row>
  </sheetData>
  <mergeCells count="35">
    <mergeCell ref="A2:A19"/>
    <mergeCell ref="B2:E2"/>
    <mergeCell ref="G2:G19"/>
    <mergeCell ref="B5:E5"/>
    <mergeCell ref="J5:L18"/>
    <mergeCell ref="B7:D7"/>
    <mergeCell ref="B8:C8"/>
    <mergeCell ref="B18:C18"/>
    <mergeCell ref="B19:F19"/>
    <mergeCell ref="A20:G20"/>
    <mergeCell ref="F21:H21"/>
    <mergeCell ref="B22:E22"/>
    <mergeCell ref="F22:G22"/>
    <mergeCell ref="F23:H23"/>
    <mergeCell ref="B23:E23"/>
    <mergeCell ref="B24:E24"/>
    <mergeCell ref="F24:H24"/>
    <mergeCell ref="B25:E25"/>
    <mergeCell ref="F25:H25"/>
    <mergeCell ref="B26:E26"/>
    <mergeCell ref="F26:H26"/>
    <mergeCell ref="B30:E30"/>
    <mergeCell ref="B31:E31"/>
    <mergeCell ref="F31:H31"/>
    <mergeCell ref="B32:E32"/>
    <mergeCell ref="F32:H32"/>
    <mergeCell ref="B33:E33"/>
    <mergeCell ref="F33:H33"/>
    <mergeCell ref="B27:E27"/>
    <mergeCell ref="F27:H27"/>
    <mergeCell ref="B28:E28"/>
    <mergeCell ref="F28:H28"/>
    <mergeCell ref="B29:E29"/>
    <mergeCell ref="F29:H29"/>
    <mergeCell ref="F30:H30"/>
  </mergeCells>
  <dataValidations>
    <dataValidation type="list" allowBlank="1" sqref="F2">
      <formula1>Trabalhos</formula1>
    </dataValidation>
    <dataValidation type="list" allowBlank="1" sqref="B7">
      <formula1>Materiais</formula1>
    </dataValidation>
    <dataValidation type="list" allowBlank="1" sqref="C9:C11">
      <formula1>"0,1,2,3,4,5"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7.0"/>
    <col customWidth="1" min="3" max="3" width="12.25"/>
    <col customWidth="1" min="4" max="4" width="12.5"/>
    <col customWidth="1" min="5" max="5" width="23.0"/>
    <col customWidth="1" min="7" max="7" width="15.0"/>
  </cols>
  <sheetData>
    <row r="1">
      <c r="A1" s="1" t="s">
        <v>57</v>
      </c>
    </row>
    <row r="7">
      <c r="A7" s="1" t="s">
        <v>58</v>
      </c>
      <c r="B7" s="71"/>
      <c r="C7" s="71"/>
      <c r="D7" s="72" t="str">
        <f>"Rio de Janeiro, "&amp;DAY(B142)&amp;" de "&amp;LOWER(TEXT(B142,"MMMM")) &amp; " de " &amp; YEAR(B142)</f>
        <v>Rio de Janeiro, 28 de abril de 2026</v>
      </c>
    </row>
    <row r="8">
      <c r="A8" s="71" t="s">
        <v>59</v>
      </c>
    </row>
    <row r="9">
      <c r="A9" s="73"/>
      <c r="B9" s="74"/>
      <c r="C9" s="75"/>
      <c r="D9" s="75"/>
      <c r="E9" s="75"/>
      <c r="F9" s="75"/>
      <c r="G9" s="75"/>
    </row>
    <row r="10">
      <c r="A10" s="73"/>
      <c r="B10" s="74"/>
      <c r="C10" s="75"/>
      <c r="D10" s="75"/>
      <c r="E10" s="74"/>
      <c r="F10" s="75"/>
      <c r="G10" s="75"/>
    </row>
    <row r="11">
      <c r="A11" s="71"/>
      <c r="B11" s="75"/>
      <c r="C11" s="75"/>
      <c r="D11" s="75"/>
      <c r="E11" s="75"/>
      <c r="F11" s="75"/>
      <c r="G11" s="75"/>
    </row>
    <row r="12">
      <c r="A12" s="75"/>
      <c r="B12" s="74"/>
      <c r="C12" s="75"/>
      <c r="D12" s="75"/>
      <c r="E12" s="75"/>
      <c r="F12" s="75"/>
      <c r="G12" s="75"/>
    </row>
    <row r="13">
      <c r="A13" s="76" t="s">
        <v>60</v>
      </c>
    </row>
    <row r="16">
      <c r="A16" s="77" t="s">
        <v>61</v>
      </c>
      <c r="B16" s="78"/>
      <c r="C16" s="78"/>
      <c r="D16" s="79"/>
      <c r="E16" s="80">
        <f>Total</f>
        <v>5964.9855</v>
      </c>
      <c r="F16" s="81"/>
      <c r="G16" s="82"/>
    </row>
    <row r="17">
      <c r="A17" s="83" t="s">
        <v>62</v>
      </c>
      <c r="B17" s="84"/>
      <c r="C17" s="84"/>
      <c r="D17" s="85"/>
      <c r="E17" s="86">
        <f>IF(MDO*Total&gt;1200,MDO*Total*AjudaMDO2,1200*AjudaMDO2)</f>
        <v>0</v>
      </c>
      <c r="F17" s="87"/>
      <c r="G17" s="88"/>
    </row>
    <row r="18">
      <c r="A18" s="83" t="s">
        <v>63</v>
      </c>
      <c r="B18" s="84"/>
      <c r="C18" s="84"/>
      <c r="D18" s="85"/>
      <c r="E18" s="89">
        <f>Credito</f>
        <v>0</v>
      </c>
      <c r="F18" s="87"/>
      <c r="G18" s="90"/>
    </row>
    <row r="19">
      <c r="A19" s="83" t="s">
        <v>64</v>
      </c>
      <c r="B19" s="91"/>
      <c r="C19" s="91"/>
      <c r="D19" s="92"/>
      <c r="E19" s="93">
        <f>Frete</f>
        <v>0</v>
      </c>
      <c r="F19" s="87"/>
      <c r="G19" s="88"/>
    </row>
    <row r="20">
      <c r="A20" s="94" t="s">
        <v>45</v>
      </c>
      <c r="B20" s="12"/>
      <c r="C20" s="12"/>
      <c r="D20" s="13"/>
      <c r="E20" s="95">
        <f>Total+Frete+IF(MDO*Total&gt;1200,MDO*Total*AjudaMDO2,1200*AjudaMDO2)-Credito</f>
        <v>5964.9855</v>
      </c>
      <c r="F20" s="96"/>
      <c r="G20" s="97"/>
    </row>
    <row r="21">
      <c r="A21" s="98" t="s">
        <v>65</v>
      </c>
      <c r="B21" s="99"/>
      <c r="C21" s="99"/>
      <c r="D21" s="99"/>
      <c r="E21" s="100"/>
      <c r="F21" s="99"/>
      <c r="G21" s="101"/>
    </row>
    <row r="22">
      <c r="A22" s="98" t="s">
        <v>66</v>
      </c>
      <c r="B22" s="102"/>
      <c r="C22" s="102"/>
      <c r="D22" s="102"/>
      <c r="E22" s="102"/>
      <c r="F22" s="102"/>
      <c r="G22" s="102"/>
    </row>
    <row r="23">
      <c r="A23" s="103" t="str">
        <f>". Frete: R$ "&amp;Frete&amp;" por conta do cliente."</f>
        <v>. Frete: R$ 0 por conta do cliente.</v>
      </c>
      <c r="B23" s="104"/>
      <c r="C23" s="104"/>
      <c r="D23" s="102"/>
      <c r="E23" s="105"/>
      <c r="F23" s="102"/>
      <c r="G23" s="102"/>
    </row>
    <row r="24">
      <c r="A24" s="106" t="s">
        <v>67</v>
      </c>
      <c r="B24" s="107"/>
      <c r="C24" s="107"/>
    </row>
    <row r="25">
      <c r="A25" s="106" t="s">
        <v>68</v>
      </c>
    </row>
    <row r="26">
      <c r="A26" s="108" t="s">
        <v>69</v>
      </c>
    </row>
    <row r="28">
      <c r="A28" s="109"/>
      <c r="B28" s="104"/>
      <c r="C28" s="102"/>
      <c r="D28" s="102"/>
      <c r="E28" s="102"/>
      <c r="F28" s="102"/>
      <c r="G28" s="102"/>
    </row>
    <row r="29">
      <c r="A29" s="110" t="s">
        <v>70</v>
      </c>
      <c r="B29" s="104"/>
      <c r="C29" s="104"/>
      <c r="D29" s="104"/>
      <c r="E29" s="104"/>
      <c r="F29" s="104"/>
      <c r="G29" s="104"/>
    </row>
    <row r="30">
      <c r="A30" s="111" t="s">
        <v>71</v>
      </c>
    </row>
    <row r="32">
      <c r="A32" s="104"/>
      <c r="B32" s="104"/>
      <c r="C32" s="102"/>
      <c r="D32" s="102"/>
      <c r="E32" s="102"/>
      <c r="F32" s="102"/>
      <c r="G32" s="102"/>
    </row>
    <row r="33">
      <c r="A33" s="112" t="s">
        <v>72</v>
      </c>
      <c r="B33" s="104"/>
      <c r="C33" s="104"/>
      <c r="D33" s="104"/>
      <c r="E33" s="104"/>
      <c r="F33" s="104"/>
      <c r="G33" s="104"/>
    </row>
    <row r="34">
      <c r="A34" s="113" t="s">
        <v>73</v>
      </c>
    </row>
    <row r="36">
      <c r="A36" s="114" t="s">
        <v>74</v>
      </c>
    </row>
    <row r="38">
      <c r="A38" s="113" t="s">
        <v>75</v>
      </c>
    </row>
    <row r="40">
      <c r="A40" s="104"/>
      <c r="B40" s="104"/>
      <c r="C40" s="104"/>
      <c r="D40" s="104"/>
      <c r="E40" s="104"/>
      <c r="F40" s="104"/>
      <c r="G40" s="104"/>
    </row>
    <row r="41">
      <c r="A41" s="104"/>
      <c r="B41" s="104"/>
      <c r="C41" s="104"/>
      <c r="D41" s="104"/>
      <c r="E41" s="104"/>
      <c r="F41" s="104"/>
      <c r="G41" s="104"/>
    </row>
    <row r="42">
      <c r="A42" s="104"/>
      <c r="B42" s="104"/>
      <c r="C42" s="104"/>
      <c r="D42" s="104"/>
      <c r="E42" s="104"/>
      <c r="F42" s="104"/>
      <c r="G42" s="104"/>
    </row>
    <row r="43">
      <c r="A43" s="115" t="s">
        <v>76</v>
      </c>
    </row>
    <row r="44">
      <c r="A44" s="116"/>
      <c r="B44" s="116"/>
      <c r="C44" s="116"/>
      <c r="D44" s="116"/>
      <c r="E44" s="116"/>
      <c r="F44" s="116"/>
      <c r="G44" s="116"/>
    </row>
    <row r="45">
      <c r="A45" s="116" t="s">
        <v>77</v>
      </c>
    </row>
    <row r="47">
      <c r="A47" s="102"/>
      <c r="B47" s="102"/>
      <c r="C47" s="102"/>
      <c r="D47" s="102"/>
      <c r="E47" s="102"/>
      <c r="F47" s="102"/>
      <c r="G47" s="102"/>
    </row>
    <row r="48">
      <c r="A48" s="117" t="s">
        <v>78</v>
      </c>
    </row>
    <row r="51">
      <c r="A51" s="117"/>
      <c r="B51" s="117"/>
      <c r="C51" s="117"/>
      <c r="D51" s="117"/>
      <c r="E51" s="117"/>
      <c r="F51" s="117"/>
      <c r="G51" s="117"/>
    </row>
    <row r="52">
      <c r="A52" s="117" t="s">
        <v>79</v>
      </c>
    </row>
    <row r="55">
      <c r="A55" s="117"/>
      <c r="B55" s="117"/>
      <c r="C55" s="117"/>
      <c r="D55" s="117"/>
      <c r="E55" s="117"/>
      <c r="F55" s="117"/>
      <c r="G55" s="117"/>
    </row>
    <row r="56">
      <c r="A56" s="117" t="s">
        <v>80</v>
      </c>
    </row>
    <row r="59">
      <c r="A59" s="117"/>
      <c r="B59" s="117"/>
      <c r="C59" s="117"/>
      <c r="D59" s="117"/>
      <c r="E59" s="117"/>
      <c r="F59" s="117"/>
      <c r="G59" s="117"/>
    </row>
    <row r="60">
      <c r="A60" s="117" t="s">
        <v>81</v>
      </c>
    </row>
    <row r="64">
      <c r="A64" s="104"/>
      <c r="B64" s="104"/>
      <c r="C64" s="104"/>
      <c r="D64" s="104"/>
      <c r="E64" s="104"/>
      <c r="F64" s="104"/>
      <c r="G64" s="104"/>
    </row>
    <row r="65">
      <c r="A65" s="118" t="s">
        <v>82</v>
      </c>
    </row>
    <row r="67">
      <c r="A67" s="116" t="s">
        <v>83</v>
      </c>
    </row>
    <row r="70">
      <c r="A70" s="117"/>
      <c r="B70" s="104"/>
      <c r="C70" s="104"/>
      <c r="D70" s="104"/>
      <c r="E70" s="104"/>
      <c r="F70" s="104"/>
      <c r="G70" s="104"/>
    </row>
    <row r="71">
      <c r="A71" s="117" t="s">
        <v>84</v>
      </c>
    </row>
    <row r="77">
      <c r="A77" s="117"/>
      <c r="B77" s="104"/>
      <c r="C77" s="104"/>
      <c r="D77" s="104"/>
      <c r="E77" s="104"/>
      <c r="F77" s="104"/>
      <c r="G77" s="104"/>
    </row>
    <row r="78">
      <c r="A78" s="117" t="s">
        <v>85</v>
      </c>
    </row>
    <row r="81">
      <c r="A81" s="117"/>
      <c r="B81" s="104"/>
      <c r="C81" s="104"/>
      <c r="D81" s="104"/>
      <c r="E81" s="104"/>
      <c r="F81" s="104"/>
      <c r="G81" s="104"/>
    </row>
    <row r="82">
      <c r="A82" s="117" t="s">
        <v>86</v>
      </c>
    </row>
    <row r="86">
      <c r="A86" s="117"/>
      <c r="B86" s="104"/>
      <c r="C86" s="104"/>
      <c r="D86" s="104"/>
      <c r="E86" s="104"/>
      <c r="F86" s="104"/>
      <c r="G86" s="104"/>
    </row>
    <row r="87">
      <c r="A87" s="117" t="s">
        <v>87</v>
      </c>
    </row>
    <row r="90">
      <c r="A90" s="117"/>
      <c r="B90" s="104"/>
      <c r="C90" s="104"/>
      <c r="D90" s="104"/>
      <c r="E90" s="104"/>
      <c r="F90" s="104"/>
      <c r="G90" s="104"/>
    </row>
    <row r="91">
      <c r="A91" s="117" t="s">
        <v>88</v>
      </c>
    </row>
    <row r="94">
      <c r="A94" s="117"/>
      <c r="B94" s="104"/>
      <c r="C94" s="104"/>
      <c r="D94" s="104"/>
      <c r="E94" s="104"/>
      <c r="F94" s="104"/>
      <c r="G94" s="104"/>
    </row>
    <row r="95">
      <c r="A95" s="119" t="s">
        <v>89</v>
      </c>
      <c r="B95" s="104"/>
      <c r="C95" s="104"/>
      <c r="D95" s="104"/>
      <c r="E95" s="104"/>
      <c r="F95" s="104"/>
      <c r="G95" s="104"/>
    </row>
    <row r="96">
      <c r="A96" s="104"/>
      <c r="B96" s="104"/>
      <c r="C96" s="104"/>
      <c r="D96" s="104"/>
      <c r="E96" s="104"/>
      <c r="F96" s="104"/>
      <c r="G96" s="104"/>
    </row>
    <row r="97">
      <c r="A97" s="116" t="s">
        <v>90</v>
      </c>
    </row>
    <row r="101">
      <c r="A101" s="117"/>
      <c r="B101" s="104"/>
      <c r="C101" s="104"/>
      <c r="D101" s="104"/>
      <c r="E101" s="104"/>
      <c r="F101" s="104"/>
      <c r="G101" s="104"/>
    </row>
    <row r="102">
      <c r="A102" s="117" t="s">
        <v>91</v>
      </c>
    </row>
    <row r="105">
      <c r="A105" s="117"/>
      <c r="B105" s="104"/>
      <c r="C105" s="104"/>
      <c r="D105" s="104"/>
      <c r="E105" s="104"/>
      <c r="F105" s="104"/>
      <c r="G105" s="104"/>
    </row>
    <row r="106">
      <c r="A106" s="117" t="s">
        <v>92</v>
      </c>
    </row>
    <row r="111">
      <c r="A111" s="117"/>
      <c r="B111" s="104"/>
      <c r="C111" s="104"/>
      <c r="D111" s="104"/>
      <c r="E111" s="104"/>
      <c r="F111" s="104"/>
      <c r="G111" s="104"/>
    </row>
    <row r="112">
      <c r="A112" s="117" t="s">
        <v>93</v>
      </c>
    </row>
    <row r="115">
      <c r="A115" s="104"/>
      <c r="B115" s="104"/>
      <c r="C115" s="104"/>
      <c r="D115" s="104"/>
      <c r="E115" s="104"/>
      <c r="F115" s="104"/>
      <c r="G115" s="104"/>
    </row>
    <row r="116">
      <c r="A116" s="117" t="s">
        <v>94</v>
      </c>
    </row>
    <row r="118">
      <c r="A118" s="104"/>
      <c r="B118" s="104"/>
      <c r="C118" s="102"/>
      <c r="D118" s="102"/>
      <c r="E118" s="102"/>
      <c r="F118" s="102"/>
      <c r="G118" s="102"/>
    </row>
    <row r="119">
      <c r="A119" s="117" t="s">
        <v>95</v>
      </c>
    </row>
    <row r="122">
      <c r="A122" s="104"/>
      <c r="B122" s="104"/>
      <c r="C122" s="104"/>
      <c r="D122" s="104"/>
      <c r="E122" s="104"/>
      <c r="F122" s="104"/>
      <c r="G122" s="104"/>
    </row>
    <row r="123">
      <c r="A123" s="117" t="s">
        <v>96</v>
      </c>
    </row>
    <row r="127">
      <c r="A127" s="104"/>
      <c r="B127" s="104"/>
      <c r="C127" s="104"/>
      <c r="D127" s="104"/>
      <c r="E127" s="104"/>
      <c r="F127" s="104"/>
      <c r="G127" s="104"/>
    </row>
    <row r="128">
      <c r="A128" s="117" t="s">
        <v>97</v>
      </c>
    </row>
    <row r="130">
      <c r="A130" s="104"/>
      <c r="B130" s="104"/>
      <c r="C130" s="102"/>
      <c r="D130" s="102"/>
      <c r="E130" s="102"/>
      <c r="F130" s="102"/>
      <c r="G130" s="102"/>
    </row>
    <row r="131">
      <c r="A131" s="120" t="s">
        <v>98</v>
      </c>
      <c r="B131" s="104"/>
      <c r="C131" s="104"/>
      <c r="D131" s="104"/>
      <c r="E131" s="104"/>
      <c r="F131" s="104"/>
      <c r="G131" s="104"/>
    </row>
    <row r="132">
      <c r="A132" s="104"/>
      <c r="B132" s="104"/>
      <c r="C132" s="104"/>
      <c r="D132" s="104"/>
      <c r="E132" s="104"/>
      <c r="F132" s="104"/>
      <c r="G132" s="104"/>
    </row>
    <row r="133">
      <c r="A133" s="120" t="s">
        <v>99</v>
      </c>
      <c r="B133" s="102"/>
      <c r="C133" s="102"/>
      <c r="D133" s="102"/>
      <c r="E133" s="102"/>
      <c r="F133" s="102"/>
      <c r="G133" s="102"/>
    </row>
    <row r="134">
      <c r="A134" s="104"/>
      <c r="B134" s="102"/>
      <c r="C134" s="102"/>
      <c r="D134" s="102"/>
      <c r="E134" s="102"/>
      <c r="F134" s="102"/>
      <c r="G134" s="102"/>
    </row>
    <row r="135">
      <c r="A135" s="121" t="s">
        <v>100</v>
      </c>
      <c r="B135" s="102"/>
      <c r="C135" s="102"/>
      <c r="D135" s="102"/>
      <c r="E135" s="102"/>
      <c r="F135" s="102"/>
      <c r="G135" s="102"/>
    </row>
    <row r="136">
      <c r="A136" s="120" t="s">
        <v>101</v>
      </c>
      <c r="B136" s="102"/>
      <c r="C136" s="102"/>
      <c r="D136" s="102"/>
      <c r="E136" s="102"/>
      <c r="F136" s="102"/>
      <c r="G136" s="102"/>
    </row>
    <row r="137">
      <c r="A137" s="102"/>
      <c r="B137" s="102"/>
      <c r="C137" s="102"/>
      <c r="D137" s="102"/>
      <c r="E137" s="102"/>
      <c r="F137" s="102"/>
      <c r="G137" s="102"/>
    </row>
    <row r="138">
      <c r="A138" s="104"/>
      <c r="B138" s="102"/>
      <c r="C138" s="102"/>
      <c r="D138" s="102"/>
      <c r="E138" s="102"/>
      <c r="F138" s="102"/>
      <c r="G138" s="102"/>
    </row>
    <row r="139">
      <c r="A139" s="122" t="s">
        <v>102</v>
      </c>
      <c r="B139" s="123">
        <f>TODAY()</f>
        <v>46140</v>
      </c>
      <c r="C139" s="102"/>
      <c r="D139" s="124" t="s">
        <v>103</v>
      </c>
      <c r="E139" s="102"/>
      <c r="F139" s="102"/>
      <c r="G139" s="102"/>
    </row>
    <row r="140">
      <c r="A140" s="102"/>
      <c r="B140" s="102"/>
      <c r="C140" s="102"/>
      <c r="D140" s="102"/>
      <c r="E140" s="102"/>
      <c r="F140" s="102"/>
      <c r="G140" s="102"/>
    </row>
    <row r="141">
      <c r="A141" s="125"/>
      <c r="B141" s="126"/>
      <c r="C141" s="126"/>
      <c r="D141" s="127"/>
      <c r="E141" s="126"/>
      <c r="F141" s="126"/>
      <c r="G141" s="126"/>
    </row>
    <row r="142">
      <c r="A142" s="128" t="s">
        <v>102</v>
      </c>
      <c r="B142" s="129">
        <f>TODAY()</f>
        <v>46140</v>
      </c>
      <c r="D142" s="130" t="s">
        <v>103</v>
      </c>
      <c r="E142" s="126"/>
      <c r="F142" s="126"/>
      <c r="G142" s="126"/>
    </row>
  </sheetData>
  <mergeCells count="28">
    <mergeCell ref="A13:G15"/>
    <mergeCell ref="A20:D20"/>
    <mergeCell ref="A26:G27"/>
    <mergeCell ref="A30:G31"/>
    <mergeCell ref="A34:G35"/>
    <mergeCell ref="A36:G37"/>
    <mergeCell ref="A38:G39"/>
    <mergeCell ref="A43:G43"/>
    <mergeCell ref="A45:G46"/>
    <mergeCell ref="A48:G50"/>
    <mergeCell ref="A52:G54"/>
    <mergeCell ref="A56:G58"/>
    <mergeCell ref="A60:G63"/>
    <mergeCell ref="A65:G66"/>
    <mergeCell ref="A102:G104"/>
    <mergeCell ref="A106:G110"/>
    <mergeCell ref="A112:G114"/>
    <mergeCell ref="A116:G117"/>
    <mergeCell ref="A119:G121"/>
    <mergeCell ref="A123:G126"/>
    <mergeCell ref="A128:G129"/>
    <mergeCell ref="A67:G69"/>
    <mergeCell ref="A71:G76"/>
    <mergeCell ref="A78:G80"/>
    <mergeCell ref="A82:G85"/>
    <mergeCell ref="A87:G89"/>
    <mergeCell ref="A91:G93"/>
    <mergeCell ref="A97:G100"/>
  </mergeCells>
  <printOptions horizontalCentered="1"/>
  <pageMargins bottom="1.1811023622047243" footer="0.0" header="0.0" left="1.1811023622047243" right="1.1811023622047243" top="0.5905511811023622"/>
  <pageSetup paperSize="9" orientation="portrait" pageOrder="overThenDown"/>
  <headerFooter>
    <oddFooter>&amp;CRua Jacamim, nº 8 – Jardim Anhangá – Duque de Caxias – RJ – Tels: (021) 98371-0067 /  98090-0260</oddFooter>
  </headerFooter>
  <colBreaks count="2" manualBreakCount="2">
    <brk man="1"/>
    <brk id="7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2" width="40.25"/>
    <col customWidth="1" min="4" max="4" width="4.13"/>
  </cols>
  <sheetData>
    <row r="1">
      <c r="A1" s="1">
        <v>1200.0</v>
      </c>
    </row>
    <row r="2">
      <c r="B2" s="131" t="s">
        <v>0</v>
      </c>
      <c r="C2" s="132" t="s">
        <v>104</v>
      </c>
    </row>
    <row r="3">
      <c r="B3" s="133" t="s">
        <v>105</v>
      </c>
      <c r="C3" s="134">
        <v>2000.0</v>
      </c>
    </row>
    <row r="4">
      <c r="B4" s="135" t="s">
        <v>33</v>
      </c>
      <c r="C4" s="136">
        <v>500.0</v>
      </c>
    </row>
    <row r="5">
      <c r="B5" s="135" t="s">
        <v>106</v>
      </c>
      <c r="C5" s="137">
        <v>500.0</v>
      </c>
    </row>
    <row r="6">
      <c r="B6" s="135" t="s">
        <v>107</v>
      </c>
      <c r="C6" s="137">
        <v>600.0</v>
      </c>
    </row>
    <row r="7">
      <c r="B7" s="135" t="s">
        <v>108</v>
      </c>
      <c r="C7" s="137">
        <v>500.0</v>
      </c>
    </row>
    <row r="8">
      <c r="B8" s="135" t="s">
        <v>109</v>
      </c>
      <c r="C8" s="137">
        <v>500.0</v>
      </c>
    </row>
    <row r="9">
      <c r="B9" s="135" t="s">
        <v>110</v>
      </c>
      <c r="C9" s="137">
        <v>600.0</v>
      </c>
    </row>
    <row r="10">
      <c r="B10" s="135" t="s">
        <v>111</v>
      </c>
      <c r="C10" s="137">
        <v>800.0</v>
      </c>
    </row>
    <row r="11">
      <c r="B11" s="138" t="s">
        <v>112</v>
      </c>
      <c r="C11" s="136">
        <v>2500.0</v>
      </c>
    </row>
    <row r="12">
      <c r="B12" s="138" t="s">
        <v>113</v>
      </c>
      <c r="C12" s="136">
        <v>850.0</v>
      </c>
    </row>
    <row r="13">
      <c r="B13" s="138" t="s">
        <v>114</v>
      </c>
      <c r="C13" s="136">
        <v>950.0</v>
      </c>
    </row>
    <row r="14">
      <c r="B14" s="138" t="s">
        <v>115</v>
      </c>
      <c r="C14" s="136">
        <v>650.0</v>
      </c>
    </row>
    <row r="15">
      <c r="B15" s="135" t="s">
        <v>116</v>
      </c>
      <c r="C15" s="136">
        <v>1200.0</v>
      </c>
    </row>
    <row r="16">
      <c r="B16" s="135" t="s">
        <v>117</v>
      </c>
      <c r="C16" s="136">
        <v>900.0</v>
      </c>
    </row>
    <row r="17">
      <c r="B17" s="135" t="s">
        <v>118</v>
      </c>
      <c r="C17" s="136">
        <v>600.0</v>
      </c>
    </row>
    <row r="18">
      <c r="B18" s="135" t="s">
        <v>119</v>
      </c>
      <c r="C18" s="136">
        <v>500.0</v>
      </c>
    </row>
    <row r="19">
      <c r="B19" s="135" t="s">
        <v>120</v>
      </c>
      <c r="C19" s="136">
        <v>800.0</v>
      </c>
    </row>
    <row r="20">
      <c r="B20" s="138" t="s">
        <v>121</v>
      </c>
      <c r="C20" s="136">
        <v>900.0</v>
      </c>
    </row>
    <row r="21">
      <c r="B21" s="135" t="s">
        <v>122</v>
      </c>
      <c r="C21" s="136">
        <v>650.0</v>
      </c>
    </row>
    <row r="22">
      <c r="B22" s="135" t="s">
        <v>123</v>
      </c>
      <c r="C22" s="136">
        <v>900.0</v>
      </c>
    </row>
    <row r="23">
      <c r="B23" s="135" t="s">
        <v>124</v>
      </c>
      <c r="C23" s="137">
        <v>2200.0</v>
      </c>
    </row>
    <row r="24">
      <c r="B24" s="135" t="s">
        <v>125</v>
      </c>
      <c r="C24" s="136">
        <v>2450.0</v>
      </c>
    </row>
    <row r="25">
      <c r="B25" s="135" t="s">
        <v>126</v>
      </c>
      <c r="C25" s="137">
        <v>450.0</v>
      </c>
    </row>
    <row r="26">
      <c r="B26" s="135" t="s">
        <v>127</v>
      </c>
      <c r="C26" s="137">
        <v>800.0</v>
      </c>
    </row>
    <row r="27">
      <c r="B27" s="135" t="s">
        <v>128</v>
      </c>
      <c r="C27" s="137">
        <v>1800.0</v>
      </c>
    </row>
    <row r="28">
      <c r="B28" s="135" t="s">
        <v>129</v>
      </c>
      <c r="C28" s="136">
        <v>400.0</v>
      </c>
    </row>
    <row r="29">
      <c r="B29" s="135" t="s">
        <v>130</v>
      </c>
      <c r="C29" s="137">
        <v>500.0</v>
      </c>
    </row>
    <row r="30">
      <c r="B30" s="138" t="s">
        <v>131</v>
      </c>
      <c r="C30" s="136">
        <v>830.0</v>
      </c>
    </row>
    <row r="31">
      <c r="B31" s="138" t="s">
        <v>132</v>
      </c>
      <c r="C31" s="136">
        <v>800.0</v>
      </c>
    </row>
    <row r="32">
      <c r="B32" s="135" t="s">
        <v>133</v>
      </c>
      <c r="C32" s="137">
        <v>600.0</v>
      </c>
    </row>
    <row r="33">
      <c r="B33" s="135" t="s">
        <v>134</v>
      </c>
      <c r="C33" s="136">
        <v>1700.0</v>
      </c>
    </row>
    <row r="34">
      <c r="B34" s="135" t="s">
        <v>135</v>
      </c>
      <c r="C34" s="137">
        <v>500.0</v>
      </c>
    </row>
    <row r="35">
      <c r="B35" s="135" t="s">
        <v>136</v>
      </c>
      <c r="C35" s="136">
        <v>2300.0</v>
      </c>
    </row>
    <row r="36">
      <c r="B36" s="135" t="s">
        <v>137</v>
      </c>
      <c r="C36" s="137">
        <v>1200.0</v>
      </c>
    </row>
    <row r="37">
      <c r="B37" s="135" t="s">
        <v>138</v>
      </c>
      <c r="C37" s="136">
        <v>750.0</v>
      </c>
    </row>
    <row r="38">
      <c r="B38" s="135" t="s">
        <v>139</v>
      </c>
      <c r="C38" s="137">
        <v>5300.0</v>
      </c>
    </row>
    <row r="39">
      <c r="B39" s="138" t="s">
        <v>140</v>
      </c>
      <c r="C39" s="136">
        <v>1600.0</v>
      </c>
    </row>
    <row r="40">
      <c r="B40" s="135" t="s">
        <v>141</v>
      </c>
      <c r="C40" s="136">
        <v>1600.0</v>
      </c>
    </row>
    <row r="41">
      <c r="B41" s="135" t="s">
        <v>142</v>
      </c>
      <c r="C41" s="137">
        <v>2000.0</v>
      </c>
    </row>
    <row r="42">
      <c r="B42" s="135" t="s">
        <v>143</v>
      </c>
      <c r="C42" s="137">
        <v>500.0</v>
      </c>
    </row>
    <row r="43">
      <c r="B43" s="138" t="s">
        <v>144</v>
      </c>
      <c r="C43" s="136">
        <v>650.0</v>
      </c>
    </row>
    <row r="44">
      <c r="B44" s="135" t="s">
        <v>145</v>
      </c>
      <c r="C44" s="137">
        <v>500.0</v>
      </c>
    </row>
    <row r="45">
      <c r="B45" s="135" t="s">
        <v>146</v>
      </c>
      <c r="C45" s="137">
        <v>500.0</v>
      </c>
    </row>
    <row r="46">
      <c r="B46" s="135" t="s">
        <v>147</v>
      </c>
      <c r="C46" s="136">
        <v>900.0</v>
      </c>
    </row>
    <row r="47">
      <c r="B47" s="135" t="s">
        <v>148</v>
      </c>
      <c r="C47" s="136">
        <v>1700.0</v>
      </c>
    </row>
    <row r="48">
      <c r="B48" s="135" t="s">
        <v>149</v>
      </c>
      <c r="C48" s="137">
        <v>1200.0</v>
      </c>
    </row>
    <row r="49">
      <c r="B49" s="139" t="s">
        <v>150</v>
      </c>
      <c r="C49" s="137">
        <v>7075.0</v>
      </c>
    </row>
    <row r="50">
      <c r="B50" s="135" t="s">
        <v>151</v>
      </c>
      <c r="C50" s="137">
        <v>2300.0</v>
      </c>
    </row>
    <row r="51">
      <c r="B51" s="135" t="s">
        <v>152</v>
      </c>
      <c r="C51" s="137">
        <v>3500.0</v>
      </c>
    </row>
    <row r="52">
      <c r="B52" s="138" t="s">
        <v>153</v>
      </c>
      <c r="C52" s="136">
        <v>850.0</v>
      </c>
    </row>
    <row r="53">
      <c r="B53" s="138" t="s">
        <v>154</v>
      </c>
      <c r="C53" s="136">
        <v>850.0</v>
      </c>
    </row>
    <row r="54">
      <c r="B54" s="138" t="s">
        <v>155</v>
      </c>
      <c r="C54" s="136">
        <v>600.0</v>
      </c>
    </row>
    <row r="55">
      <c r="B55" s="135" t="s">
        <v>156</v>
      </c>
      <c r="C55" s="136">
        <v>850.0</v>
      </c>
    </row>
    <row r="56">
      <c r="B56" s="138" t="s">
        <v>157</v>
      </c>
      <c r="C56" s="136">
        <v>1500.0</v>
      </c>
    </row>
    <row r="57">
      <c r="B57" s="135" t="s">
        <v>158</v>
      </c>
      <c r="C57" s="137">
        <v>950.0</v>
      </c>
    </row>
    <row r="58">
      <c r="B58" s="135" t="s">
        <v>159</v>
      </c>
      <c r="C58" s="137">
        <v>900.0</v>
      </c>
    </row>
    <row r="59">
      <c r="B59" s="135" t="s">
        <v>160</v>
      </c>
      <c r="C59" s="137">
        <v>1900.0</v>
      </c>
    </row>
    <row r="60">
      <c r="B60" s="135" t="s">
        <v>161</v>
      </c>
      <c r="C60" s="137">
        <v>800.0</v>
      </c>
    </row>
    <row r="61">
      <c r="B61" s="135" t="s">
        <v>162</v>
      </c>
      <c r="C61" s="137">
        <v>1000.0</v>
      </c>
    </row>
    <row r="62">
      <c r="B62" s="135" t="s">
        <v>163</v>
      </c>
      <c r="C62" s="137">
        <v>2000.0</v>
      </c>
    </row>
    <row r="63">
      <c r="B63" s="135" t="s">
        <v>164</v>
      </c>
      <c r="C63" s="137">
        <v>500.0</v>
      </c>
    </row>
    <row r="64">
      <c r="B64" s="135" t="s">
        <v>165</v>
      </c>
      <c r="C64" s="137">
        <v>6000.0</v>
      </c>
    </row>
    <row r="65">
      <c r="B65" s="138" t="s">
        <v>166</v>
      </c>
      <c r="C65" s="136">
        <v>550.0</v>
      </c>
    </row>
    <row r="66">
      <c r="B66" s="135" t="s">
        <v>167</v>
      </c>
      <c r="C66" s="137">
        <v>500.0</v>
      </c>
    </row>
    <row r="67">
      <c r="B67" s="135" t="s">
        <v>168</v>
      </c>
      <c r="C67" s="137">
        <v>1500.0</v>
      </c>
    </row>
    <row r="68">
      <c r="B68" s="135" t="s">
        <v>169</v>
      </c>
      <c r="C68" s="136">
        <v>1500.0</v>
      </c>
    </row>
    <row r="69">
      <c r="B69" s="135" t="s">
        <v>170</v>
      </c>
      <c r="C69" s="137">
        <v>1600.0</v>
      </c>
    </row>
    <row r="70">
      <c r="B70" s="135" t="s">
        <v>171</v>
      </c>
      <c r="C70" s="137">
        <v>1100.0</v>
      </c>
    </row>
    <row r="71">
      <c r="B71" s="135" t="s">
        <v>172</v>
      </c>
      <c r="C71" s="137">
        <v>700.0</v>
      </c>
    </row>
    <row r="72">
      <c r="B72" s="135" t="s">
        <v>173</v>
      </c>
      <c r="C72" s="136">
        <v>900.0</v>
      </c>
    </row>
    <row r="73">
      <c r="B73" s="135" t="s">
        <v>174</v>
      </c>
      <c r="C73" s="136">
        <v>850.0</v>
      </c>
    </row>
    <row r="74">
      <c r="B74" s="135" t="s">
        <v>175</v>
      </c>
      <c r="C74" s="136">
        <v>950.0</v>
      </c>
    </row>
    <row r="75">
      <c r="B75" s="140" t="s">
        <v>176</v>
      </c>
      <c r="C75" s="137">
        <v>1300.0</v>
      </c>
    </row>
    <row r="76">
      <c r="B76" s="140" t="s">
        <v>177</v>
      </c>
      <c r="C76" s="137">
        <v>2050.0</v>
      </c>
    </row>
    <row r="77">
      <c r="B77" s="140" t="s">
        <v>178</v>
      </c>
      <c r="C77" s="136">
        <v>1700.0</v>
      </c>
    </row>
    <row r="78">
      <c r="B78" s="140" t="s">
        <v>179</v>
      </c>
      <c r="C78" s="137">
        <v>2800.0</v>
      </c>
    </row>
    <row r="79">
      <c r="B79" s="140" t="s">
        <v>180</v>
      </c>
      <c r="C79" s="136">
        <v>1300.0</v>
      </c>
    </row>
    <row r="80">
      <c r="B80" s="140" t="s">
        <v>181</v>
      </c>
      <c r="C80" s="136">
        <v>1500.0</v>
      </c>
    </row>
    <row r="81">
      <c r="B81" s="140" t="s">
        <v>182</v>
      </c>
      <c r="C81" s="137">
        <v>1800.0</v>
      </c>
    </row>
    <row r="82">
      <c r="B82" s="138" t="s">
        <v>183</v>
      </c>
      <c r="C82" s="136">
        <v>1550.0</v>
      </c>
    </row>
    <row r="83">
      <c r="B83" s="140" t="s">
        <v>184</v>
      </c>
      <c r="C83" s="137">
        <v>1900.0</v>
      </c>
    </row>
    <row r="84">
      <c r="B84" s="140" t="s">
        <v>185</v>
      </c>
      <c r="C84" s="137">
        <v>1800.0</v>
      </c>
    </row>
    <row r="85">
      <c r="B85" s="140" t="s">
        <v>186</v>
      </c>
      <c r="C85" s="137">
        <v>500.0</v>
      </c>
    </row>
    <row r="86">
      <c r="B86" s="140" t="s">
        <v>187</v>
      </c>
      <c r="C86" s="137">
        <v>600.0</v>
      </c>
    </row>
    <row r="87">
      <c r="B87" s="140" t="s">
        <v>188</v>
      </c>
      <c r="C87" s="136">
        <v>850.0</v>
      </c>
    </row>
    <row r="88">
      <c r="B88" s="140" t="s">
        <v>189</v>
      </c>
      <c r="C88" s="137">
        <v>2000.0</v>
      </c>
    </row>
    <row r="89">
      <c r="B89" s="140" t="s">
        <v>190</v>
      </c>
      <c r="C89" s="137">
        <v>4500.0</v>
      </c>
    </row>
    <row r="90">
      <c r="B90" s="140" t="s">
        <v>191</v>
      </c>
      <c r="C90" s="137">
        <v>3000.0</v>
      </c>
    </row>
    <row r="91">
      <c r="B91" s="140" t="s">
        <v>192</v>
      </c>
      <c r="C91" s="137">
        <v>2400.0</v>
      </c>
    </row>
    <row r="92">
      <c r="B92" s="140" t="s">
        <v>193</v>
      </c>
      <c r="C92" s="137">
        <v>4000.0</v>
      </c>
    </row>
    <row r="93">
      <c r="B93" s="140" t="s">
        <v>194</v>
      </c>
      <c r="C93" s="136">
        <v>1900.0</v>
      </c>
    </row>
    <row r="94">
      <c r="B94" s="140" t="s">
        <v>195</v>
      </c>
      <c r="C94" s="136">
        <v>2100.0</v>
      </c>
    </row>
    <row r="95">
      <c r="B95" s="138" t="s">
        <v>196</v>
      </c>
      <c r="C95" s="136">
        <v>1700.0</v>
      </c>
    </row>
    <row r="96">
      <c r="B96" s="140" t="s">
        <v>197</v>
      </c>
      <c r="C96" s="137">
        <v>1800.0</v>
      </c>
    </row>
    <row r="97">
      <c r="B97" s="140" t="s">
        <v>198</v>
      </c>
      <c r="C97" s="137">
        <v>2000.0</v>
      </c>
    </row>
    <row r="98">
      <c r="B98" s="140" t="s">
        <v>199</v>
      </c>
      <c r="C98" s="136">
        <v>1600.0</v>
      </c>
    </row>
    <row r="99">
      <c r="B99" s="138" t="s">
        <v>200</v>
      </c>
      <c r="C99" s="136">
        <v>1300.0</v>
      </c>
    </row>
    <row r="100">
      <c r="B100" s="138" t="s">
        <v>201</v>
      </c>
      <c r="C100" s="136">
        <v>1300.0</v>
      </c>
    </row>
    <row r="101">
      <c r="B101" s="140" t="s">
        <v>202</v>
      </c>
      <c r="C101" s="137">
        <v>2800.0</v>
      </c>
    </row>
    <row r="102">
      <c r="B102" s="140" t="s">
        <v>203</v>
      </c>
      <c r="C102" s="137">
        <v>2500.0</v>
      </c>
    </row>
    <row r="103">
      <c r="B103" s="140" t="s">
        <v>204</v>
      </c>
      <c r="C103" s="137">
        <v>2400.0</v>
      </c>
    </row>
    <row r="104">
      <c r="B104" s="138" t="s">
        <v>205</v>
      </c>
      <c r="C104" s="136">
        <v>2850.0</v>
      </c>
    </row>
    <row r="105">
      <c r="B105" s="140" t="s">
        <v>206</v>
      </c>
      <c r="C105" s="136">
        <v>1500.0</v>
      </c>
    </row>
    <row r="106">
      <c r="B106" s="140" t="s">
        <v>207</v>
      </c>
      <c r="C106" s="137">
        <v>3200.0</v>
      </c>
    </row>
    <row r="107">
      <c r="B107" s="138" t="s">
        <v>208</v>
      </c>
      <c r="C107" s="136">
        <v>1300.0</v>
      </c>
    </row>
    <row r="108">
      <c r="B108" s="138" t="s">
        <v>209</v>
      </c>
      <c r="C108" s="136">
        <v>1500.0</v>
      </c>
    </row>
    <row r="109">
      <c r="B109" s="140" t="s">
        <v>210</v>
      </c>
      <c r="C109" s="137">
        <v>500.0</v>
      </c>
    </row>
    <row r="110">
      <c r="B110" s="140" t="s">
        <v>211</v>
      </c>
      <c r="C110" s="136">
        <v>1500.0</v>
      </c>
    </row>
    <row r="111">
      <c r="B111" s="138" t="s">
        <v>212</v>
      </c>
      <c r="C111" s="136">
        <v>800.0</v>
      </c>
    </row>
    <row r="112">
      <c r="B112" s="138" t="s">
        <v>213</v>
      </c>
      <c r="C112" s="136">
        <v>500.0</v>
      </c>
    </row>
    <row r="113">
      <c r="B113" s="138" t="s">
        <v>214</v>
      </c>
      <c r="C113" s="136">
        <v>450.0</v>
      </c>
    </row>
    <row r="114">
      <c r="B114" s="138" t="s">
        <v>215</v>
      </c>
      <c r="C114" s="136">
        <v>1050.0</v>
      </c>
    </row>
    <row r="115">
      <c r="B115" s="138" t="s">
        <v>216</v>
      </c>
      <c r="C115" s="136">
        <v>750.0</v>
      </c>
    </row>
    <row r="116">
      <c r="B116" s="140" t="s">
        <v>217</v>
      </c>
      <c r="C116" s="137">
        <v>850.0</v>
      </c>
    </row>
    <row r="117">
      <c r="B117" s="140" t="s">
        <v>218</v>
      </c>
      <c r="C117" s="137">
        <v>400.0</v>
      </c>
    </row>
    <row r="118">
      <c r="B118" s="141"/>
      <c r="C118" s="142"/>
    </row>
    <row r="119">
      <c r="B119" s="141"/>
      <c r="C119" s="142"/>
    </row>
    <row r="120">
      <c r="B120" s="141"/>
      <c r="C120" s="142"/>
    </row>
    <row r="121">
      <c r="B121" s="141"/>
      <c r="C121" s="142"/>
    </row>
    <row r="122">
      <c r="B122" s="141"/>
      <c r="C122" s="142"/>
    </row>
    <row r="123">
      <c r="B123" s="141"/>
      <c r="C123" s="142"/>
    </row>
    <row r="124">
      <c r="B124" s="141"/>
      <c r="C124" s="142"/>
    </row>
    <row r="125">
      <c r="B125" s="141"/>
      <c r="C125" s="142"/>
    </row>
    <row r="126">
      <c r="C126" s="14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9" max="9" width="3.13"/>
  </cols>
  <sheetData>
    <row r="1">
      <c r="A1" s="144"/>
      <c r="B1" s="145"/>
      <c r="C1" s="145"/>
      <c r="D1" s="145"/>
      <c r="E1" s="145"/>
      <c r="F1" s="145"/>
      <c r="G1" s="145"/>
      <c r="H1" s="145"/>
      <c r="I1" s="145"/>
    </row>
    <row r="2">
      <c r="A2" s="145"/>
      <c r="B2" s="64" t="s">
        <v>219</v>
      </c>
      <c r="C2" s="27"/>
      <c r="D2" s="27"/>
      <c r="E2" s="28"/>
      <c r="F2" s="65" t="s">
        <v>220</v>
      </c>
      <c r="G2" s="27"/>
      <c r="H2" s="28"/>
      <c r="I2" s="145"/>
    </row>
    <row r="3">
      <c r="A3" s="145"/>
      <c r="B3" s="69" t="s">
        <v>221</v>
      </c>
      <c r="E3" s="9"/>
      <c r="F3" s="67">
        <v>287.2125</v>
      </c>
      <c r="H3" s="9"/>
      <c r="I3" s="145"/>
    </row>
    <row r="4">
      <c r="A4" s="145"/>
      <c r="B4" s="69" t="s">
        <v>222</v>
      </c>
      <c r="E4" s="9"/>
      <c r="F4" s="67">
        <v>574.4250000000001</v>
      </c>
      <c r="H4" s="9"/>
      <c r="I4" s="145"/>
    </row>
    <row r="5">
      <c r="A5" s="145"/>
      <c r="B5" s="69" t="s">
        <v>223</v>
      </c>
      <c r="E5" s="9"/>
      <c r="F5" s="67">
        <v>1120.1287499999999</v>
      </c>
      <c r="H5" s="9"/>
      <c r="I5" s="145"/>
    </row>
    <row r="6">
      <c r="A6" s="145"/>
      <c r="B6" s="64" t="s">
        <v>224</v>
      </c>
      <c r="C6" s="27"/>
      <c r="D6" s="27"/>
      <c r="E6" s="28"/>
      <c r="F6" s="65" t="s">
        <v>225</v>
      </c>
      <c r="G6" s="27"/>
      <c r="H6" s="28"/>
      <c r="I6" s="145"/>
    </row>
    <row r="7">
      <c r="A7" s="145"/>
      <c r="B7" s="69" t="s">
        <v>226</v>
      </c>
      <c r="E7" s="9"/>
      <c r="F7" s="67">
        <v>191.47500000000002</v>
      </c>
      <c r="H7" s="9"/>
      <c r="I7" s="145"/>
    </row>
    <row r="8">
      <c r="A8" s="145"/>
      <c r="B8" s="69" t="s">
        <v>227</v>
      </c>
      <c r="E8" s="9"/>
      <c r="F8" s="67">
        <v>222.11100000000002</v>
      </c>
      <c r="H8" s="9"/>
      <c r="I8" s="145"/>
    </row>
    <row r="9">
      <c r="A9" s="145"/>
      <c r="B9" s="69" t="s">
        <v>228</v>
      </c>
      <c r="E9" s="9"/>
      <c r="F9" s="68">
        <v>404.65</v>
      </c>
      <c r="H9" s="9"/>
      <c r="I9" s="145"/>
    </row>
    <row r="10">
      <c r="A10" s="145"/>
      <c r="B10" s="69" t="s">
        <v>229</v>
      </c>
      <c r="E10" s="9"/>
      <c r="F10" s="68">
        <v>421.24</v>
      </c>
      <c r="H10" s="9"/>
      <c r="I10" s="145"/>
    </row>
    <row r="11">
      <c r="A11" s="145"/>
      <c r="B11" s="64" t="s">
        <v>230</v>
      </c>
      <c r="C11" s="27"/>
      <c r="D11" s="27"/>
      <c r="E11" s="28"/>
      <c r="F11" s="65" t="s">
        <v>180</v>
      </c>
      <c r="G11" s="27"/>
      <c r="H11" s="28"/>
      <c r="I11" s="145"/>
    </row>
    <row r="12">
      <c r="A12" s="145"/>
      <c r="B12" s="66" t="s">
        <v>231</v>
      </c>
      <c r="E12" s="9"/>
      <c r="F12" s="67">
        <v>152.33751</v>
      </c>
      <c r="H12" s="9"/>
      <c r="I12" s="145"/>
    </row>
    <row r="13">
      <c r="A13" s="145"/>
      <c r="B13" s="69" t="s">
        <v>232</v>
      </c>
      <c r="E13" s="9"/>
      <c r="F13" s="67">
        <v>484.848</v>
      </c>
      <c r="H13" s="9"/>
      <c r="I13" s="145"/>
    </row>
    <row r="14">
      <c r="A14" s="145"/>
      <c r="B14" s="69" t="s">
        <v>233</v>
      </c>
      <c r="E14" s="9"/>
      <c r="F14" s="67">
        <v>58.7301</v>
      </c>
      <c r="H14" s="9"/>
      <c r="I14" s="145"/>
    </row>
    <row r="15">
      <c r="A15" s="145"/>
      <c r="B15" s="66" t="s">
        <v>234</v>
      </c>
      <c r="E15" s="9"/>
      <c r="F15" s="67">
        <v>1229.4360000000001</v>
      </c>
      <c r="H15" s="9"/>
      <c r="I15" s="145"/>
    </row>
    <row r="16">
      <c r="A16" s="145"/>
      <c r="B16" s="64" t="s">
        <v>235</v>
      </c>
      <c r="C16" s="27"/>
      <c r="D16" s="27"/>
      <c r="E16" s="28"/>
      <c r="F16" s="65" t="s">
        <v>180</v>
      </c>
      <c r="G16" s="27"/>
      <c r="H16" s="28"/>
      <c r="I16" s="145"/>
    </row>
    <row r="17">
      <c r="A17" s="145"/>
      <c r="B17" s="66" t="s">
        <v>236</v>
      </c>
      <c r="E17" s="9"/>
      <c r="F17" s="67">
        <v>180.54816000000002</v>
      </c>
      <c r="H17" s="9"/>
      <c r="I17" s="145"/>
    </row>
    <row r="18">
      <c r="A18" s="145"/>
      <c r="B18" s="69" t="s">
        <v>237</v>
      </c>
      <c r="E18" s="9"/>
      <c r="F18" s="67">
        <v>415.584</v>
      </c>
      <c r="H18" s="9"/>
      <c r="I18" s="145"/>
    </row>
    <row r="19">
      <c r="A19" s="145"/>
      <c r="B19" s="69" t="s">
        <v>233</v>
      </c>
      <c r="E19" s="9"/>
      <c r="F19" s="67">
        <v>58.7301</v>
      </c>
      <c r="H19" s="9"/>
      <c r="I19" s="145"/>
    </row>
    <row r="20">
      <c r="A20" s="145"/>
      <c r="B20" s="66" t="s">
        <v>238</v>
      </c>
      <c r="E20" s="9"/>
      <c r="F20" s="67">
        <v>1021.6440000000001</v>
      </c>
      <c r="H20" s="9"/>
      <c r="I20" s="145"/>
    </row>
    <row r="21">
      <c r="A21" s="145"/>
      <c r="B21" s="64" t="s">
        <v>239</v>
      </c>
      <c r="C21" s="27"/>
      <c r="D21" s="27"/>
      <c r="E21" s="28"/>
      <c r="F21" s="70" t="s">
        <v>240</v>
      </c>
      <c r="G21" s="27"/>
      <c r="H21" s="28"/>
      <c r="I21" s="145"/>
    </row>
    <row r="22">
      <c r="A22" s="145"/>
      <c r="B22" s="66" t="s">
        <v>241</v>
      </c>
      <c r="E22" s="9"/>
      <c r="F22" s="67">
        <v>1914.77664</v>
      </c>
      <c r="H22" s="9"/>
      <c r="I22" s="145"/>
    </row>
    <row r="23">
      <c r="A23" s="145"/>
      <c r="B23" s="64" t="s">
        <v>242</v>
      </c>
      <c r="C23" s="27"/>
      <c r="D23" s="27"/>
      <c r="E23" s="28"/>
      <c r="F23" s="70" t="s">
        <v>240</v>
      </c>
      <c r="G23" s="27"/>
      <c r="H23" s="28"/>
      <c r="I23" s="145"/>
    </row>
    <row r="24">
      <c r="A24" s="145"/>
      <c r="B24" s="66" t="s">
        <v>243</v>
      </c>
      <c r="E24" s="9"/>
      <c r="F24" s="67">
        <v>1923.1948800000007</v>
      </c>
      <c r="H24" s="9"/>
      <c r="I24" s="145"/>
    </row>
    <row r="25">
      <c r="A25" s="145"/>
      <c r="B25" s="64"/>
      <c r="C25" s="27"/>
      <c r="D25" s="27"/>
      <c r="E25" s="28"/>
      <c r="F25" s="70"/>
      <c r="G25" s="27"/>
      <c r="H25" s="28"/>
      <c r="I25" s="145"/>
    </row>
    <row r="26">
      <c r="A26" s="145"/>
      <c r="B26" s="146"/>
      <c r="C26" s="146"/>
      <c r="D26" s="146"/>
      <c r="E26" s="146"/>
      <c r="F26" s="146"/>
      <c r="G26" s="146"/>
      <c r="H26" s="146"/>
      <c r="I26" s="145"/>
    </row>
    <row r="27">
      <c r="A27" s="145"/>
      <c r="B27" s="146"/>
      <c r="C27" s="146"/>
      <c r="D27" s="146"/>
      <c r="E27" s="146"/>
      <c r="F27" s="146"/>
      <c r="G27" s="146"/>
      <c r="H27" s="146"/>
      <c r="I27" s="145"/>
    </row>
    <row r="28">
      <c r="A28" s="145"/>
      <c r="B28" s="146"/>
      <c r="C28" s="146"/>
      <c r="D28" s="146"/>
      <c r="E28" s="146"/>
      <c r="F28" s="146"/>
      <c r="G28" s="146"/>
      <c r="H28" s="146"/>
      <c r="I28" s="145"/>
    </row>
    <row r="29">
      <c r="A29" s="145"/>
      <c r="B29" s="146"/>
      <c r="C29" s="146"/>
      <c r="D29" s="146"/>
      <c r="E29" s="146"/>
      <c r="F29" s="146"/>
      <c r="G29" s="146"/>
      <c r="H29" s="146"/>
      <c r="I29" s="145"/>
    </row>
    <row r="30">
      <c r="A30" s="145"/>
      <c r="B30" s="146"/>
      <c r="G30" s="146"/>
      <c r="H30" s="146"/>
      <c r="I30" s="145"/>
    </row>
    <row r="31">
      <c r="A31" s="145"/>
      <c r="B31" s="146"/>
      <c r="C31" s="147" t="s">
        <v>244</v>
      </c>
      <c r="G31" s="146"/>
      <c r="H31" s="146"/>
      <c r="I31" s="145"/>
    </row>
    <row r="32">
      <c r="A32" s="145"/>
      <c r="B32" s="146"/>
      <c r="C32" s="148" t="s">
        <v>29</v>
      </c>
      <c r="D32" s="149"/>
      <c r="E32" s="149"/>
      <c r="F32" s="150" t="s">
        <v>32</v>
      </c>
      <c r="G32" s="146"/>
      <c r="H32" s="146"/>
      <c r="I32" s="145"/>
    </row>
    <row r="33">
      <c r="A33" s="145"/>
      <c r="B33" s="146"/>
      <c r="C33" s="151" t="s">
        <v>33</v>
      </c>
      <c r="D33" s="27"/>
      <c r="E33" s="28"/>
      <c r="F33" s="152">
        <f>IFERROR(DGET(BDMateriais,'Lista de Materiais'!$C$2,Material.Mesa),"Não há preço na tabela para um material desse nome")</f>
        <v>500</v>
      </c>
      <c r="G33" s="146"/>
      <c r="H33" s="50" t="s">
        <v>245</v>
      </c>
      <c r="I33" s="145"/>
    </row>
    <row r="34">
      <c r="A34" s="145"/>
      <c r="B34" s="146"/>
      <c r="C34" s="153">
        <f>IFS(F37=TRUE(),1.5,D37=TRUE(),1.2,E32&gt;-1,1.2)</f>
        <v>1.2</v>
      </c>
      <c r="D34" s="28"/>
      <c r="E34" s="44" t="str">
        <f>IF(F34=TRUE,"111%","100%")</f>
        <v>111%</v>
      </c>
      <c r="F34" s="45" t="b">
        <v>1</v>
      </c>
      <c r="G34" s="146"/>
      <c r="H34" s="146"/>
      <c r="I34" s="145"/>
    </row>
    <row r="35">
      <c r="A35" s="145"/>
      <c r="B35" s="146"/>
      <c r="C35" s="150" t="s">
        <v>35</v>
      </c>
      <c r="D35" s="154">
        <v>0.0</v>
      </c>
      <c r="E35" s="149"/>
      <c r="F35" s="149"/>
      <c r="G35" s="146"/>
      <c r="H35" s="155" t="s">
        <v>246</v>
      </c>
      <c r="I35" s="145"/>
    </row>
    <row r="36">
      <c r="A36" s="145"/>
      <c r="B36" s="146"/>
      <c r="C36" s="150" t="s">
        <v>36</v>
      </c>
      <c r="D36" s="154">
        <v>0.0</v>
      </c>
      <c r="E36" s="149"/>
      <c r="F36" s="149"/>
      <c r="G36" s="146"/>
      <c r="H36" s="146"/>
      <c r="I36" s="145"/>
    </row>
    <row r="37">
      <c r="A37" s="145"/>
      <c r="B37" s="146"/>
      <c r="C37" s="150" t="s">
        <v>247</v>
      </c>
      <c r="D37" s="156" t="b">
        <v>0</v>
      </c>
      <c r="E37" s="27"/>
      <c r="F37" s="28"/>
      <c r="G37" s="146"/>
      <c r="H37" s="146"/>
      <c r="I37" s="145"/>
    </row>
    <row r="38">
      <c r="A38" s="145"/>
      <c r="B38" s="146"/>
      <c r="C38" s="150" t="s">
        <v>42</v>
      </c>
      <c r="D38" s="157" t="str">
        <f>IF(G31&gt;1,G31&amp;" Mesas com Tampo de "&amp;D32&amp;"x"&amp;E32&amp;"m²",IF(G31=1,"Mesa: Tampo de "&amp;D32&amp;"x"&amp;E32&amp;"m²"," "))&amp;IF(F37=TRUE()," c/ Sarim","")&amp;IF(D37=TRUE()," c/ Saia","")</f>
        <v> </v>
      </c>
      <c r="E38" s="50" t="str">
        <f>IF(E32&gt;0,(D32*E32)*D34*E34*F33*G31," ")</f>
        <v> </v>
      </c>
      <c r="F38" s="23"/>
      <c r="G38" s="146"/>
      <c r="H38" s="146"/>
      <c r="I38" s="145"/>
    </row>
    <row r="39">
      <c r="A39" s="145"/>
      <c r="B39" s="146"/>
      <c r="C39" s="158"/>
      <c r="D39" s="159" t="str">
        <f>IF(K35&gt;0," + Pé "&amp;I35&amp;" c/ total de "&amp;J35&amp;"x"&amp;K35&amp;"m²","")</f>
        <v/>
      </c>
      <c r="E39" s="160" t="str">
        <f>IF(K35&gt;0,(J35*K35)*I33*E34*F33," ")</f>
        <v> </v>
      </c>
      <c r="F39" s="23"/>
      <c r="G39" s="146"/>
      <c r="H39" s="146"/>
      <c r="I39" s="145"/>
    </row>
    <row r="40">
      <c r="A40" s="145"/>
      <c r="B40" s="146"/>
      <c r="C40" s="161" t="str">
        <f>E38&amp;E39</f>
        <v>  </v>
      </c>
      <c r="D40" s="28"/>
      <c r="E40" s="162">
        <f>SUM(E38:E39)</f>
        <v>0</v>
      </c>
      <c r="F40" s="23"/>
      <c r="G40" s="146"/>
      <c r="H40" s="146"/>
      <c r="I40" s="145"/>
    </row>
    <row r="41">
      <c r="A41" s="145"/>
      <c r="B41" s="146"/>
      <c r="G41" s="146"/>
      <c r="H41" s="146"/>
      <c r="I41" s="145"/>
    </row>
    <row r="42">
      <c r="A42" s="145"/>
      <c r="B42" s="146"/>
      <c r="C42" s="146"/>
      <c r="D42" s="146"/>
      <c r="E42" s="146"/>
      <c r="F42" s="146"/>
      <c r="G42" s="146"/>
      <c r="H42" s="146"/>
      <c r="I42" s="145"/>
    </row>
    <row r="43">
      <c r="A43" s="145"/>
      <c r="B43" s="146"/>
      <c r="C43" s="146"/>
      <c r="D43" s="146"/>
      <c r="E43" s="146"/>
      <c r="F43" s="146"/>
      <c r="G43" s="146"/>
      <c r="H43" s="146"/>
      <c r="I43" s="145"/>
    </row>
    <row r="44">
      <c r="A44" s="145"/>
      <c r="B44" s="146"/>
      <c r="C44" s="146"/>
      <c r="D44" s="146"/>
      <c r="E44" s="146"/>
      <c r="F44" s="146"/>
      <c r="G44" s="146"/>
      <c r="H44" s="146"/>
      <c r="I44" s="145"/>
    </row>
    <row r="45">
      <c r="A45" s="145"/>
      <c r="B45" s="146"/>
      <c r="C45" s="146"/>
      <c r="D45" s="146"/>
      <c r="E45" s="146"/>
      <c r="F45" s="146"/>
      <c r="G45" s="146"/>
      <c r="H45" s="146"/>
      <c r="I45" s="145"/>
    </row>
    <row r="46">
      <c r="A46" s="145"/>
      <c r="B46" s="146"/>
      <c r="C46" s="146"/>
      <c r="D46" s="146"/>
      <c r="E46" s="146"/>
      <c r="F46" s="146"/>
      <c r="G46" s="146"/>
      <c r="H46" s="146"/>
      <c r="I46" s="145"/>
    </row>
    <row r="47">
      <c r="A47" s="145"/>
      <c r="B47" s="146"/>
      <c r="C47" s="146"/>
      <c r="D47" s="146"/>
      <c r="E47" s="146"/>
      <c r="F47" s="146"/>
      <c r="G47" s="146"/>
      <c r="H47" s="146"/>
      <c r="I47" s="145"/>
    </row>
    <row r="48">
      <c r="A48" s="145"/>
      <c r="B48" s="146"/>
      <c r="C48" s="146"/>
      <c r="D48" s="146"/>
      <c r="E48" s="146"/>
      <c r="F48" s="146"/>
      <c r="G48" s="146"/>
      <c r="H48" s="146"/>
      <c r="I48" s="145"/>
    </row>
    <row r="49">
      <c r="A49" s="145"/>
      <c r="B49" s="146"/>
      <c r="C49" s="146"/>
      <c r="D49" s="146"/>
      <c r="E49" s="146"/>
      <c r="F49" s="146"/>
      <c r="G49" s="146"/>
      <c r="H49" s="146"/>
      <c r="I49" s="145"/>
    </row>
    <row r="50">
      <c r="A50" s="145"/>
      <c r="B50" s="146"/>
      <c r="C50" s="146"/>
      <c r="D50" s="146"/>
      <c r="E50" s="146"/>
      <c r="F50" s="146"/>
      <c r="G50" s="146"/>
      <c r="H50" s="146"/>
      <c r="I50" s="145"/>
    </row>
    <row r="51">
      <c r="A51" s="145"/>
      <c r="B51" s="146"/>
      <c r="C51" s="146"/>
      <c r="D51" s="146"/>
      <c r="E51" s="146"/>
      <c r="F51" s="146"/>
      <c r="G51" s="146"/>
      <c r="H51" s="146"/>
      <c r="I51" s="145"/>
    </row>
    <row r="52">
      <c r="A52" s="145"/>
      <c r="B52" s="146"/>
      <c r="C52" s="146"/>
      <c r="D52" s="146"/>
      <c r="E52" s="146"/>
      <c r="F52" s="146"/>
      <c r="G52" s="146"/>
      <c r="H52" s="146"/>
      <c r="I52" s="145"/>
    </row>
    <row r="53">
      <c r="A53" s="145"/>
      <c r="B53" s="146"/>
      <c r="C53" s="146"/>
      <c r="D53" s="146"/>
      <c r="E53" s="146"/>
      <c r="F53" s="146"/>
      <c r="G53" s="146"/>
      <c r="H53" s="146"/>
      <c r="I53" s="145"/>
    </row>
    <row r="54">
      <c r="A54" s="145"/>
      <c r="B54" s="146"/>
      <c r="C54" s="146"/>
      <c r="D54" s="146"/>
      <c r="E54" s="146"/>
      <c r="F54" s="146"/>
      <c r="G54" s="146"/>
      <c r="H54" s="146"/>
      <c r="I54" s="145"/>
    </row>
    <row r="55">
      <c r="A55" s="145"/>
      <c r="B55" s="146"/>
      <c r="C55" s="146"/>
      <c r="D55" s="146"/>
      <c r="E55" s="146"/>
      <c r="F55" s="146"/>
      <c r="G55" s="146"/>
      <c r="H55" s="146"/>
      <c r="I55" s="145"/>
    </row>
    <row r="56">
      <c r="A56" s="145"/>
      <c r="B56" s="146"/>
      <c r="C56" s="146"/>
      <c r="D56" s="146"/>
      <c r="E56" s="146"/>
      <c r="F56" s="146"/>
      <c r="G56" s="146"/>
      <c r="H56" s="146"/>
      <c r="I56" s="145"/>
    </row>
    <row r="57">
      <c r="A57" s="145"/>
      <c r="B57" s="146"/>
      <c r="C57" s="146"/>
      <c r="D57" s="146"/>
      <c r="E57" s="146"/>
      <c r="F57" s="146"/>
      <c r="G57" s="146"/>
      <c r="H57" s="146"/>
      <c r="I57" s="145"/>
    </row>
    <row r="58">
      <c r="A58" s="145"/>
      <c r="B58" s="146"/>
      <c r="C58" s="146"/>
      <c r="D58" s="146"/>
      <c r="E58" s="146"/>
      <c r="F58" s="146"/>
      <c r="G58" s="146"/>
      <c r="H58" s="146"/>
      <c r="I58" s="145"/>
    </row>
    <row r="59">
      <c r="A59" s="145"/>
      <c r="B59" s="146"/>
      <c r="C59" s="146"/>
      <c r="D59" s="146"/>
      <c r="E59" s="146"/>
      <c r="F59" s="146"/>
      <c r="G59" s="146"/>
      <c r="H59" s="146"/>
      <c r="I59" s="145"/>
    </row>
    <row r="60">
      <c r="A60" s="145"/>
      <c r="B60" s="146"/>
      <c r="C60" s="146"/>
      <c r="D60" s="146"/>
      <c r="E60" s="146"/>
      <c r="F60" s="146"/>
      <c r="G60" s="146"/>
      <c r="H60" s="146"/>
      <c r="I60" s="145"/>
    </row>
    <row r="61">
      <c r="A61" s="145"/>
      <c r="B61" s="146"/>
      <c r="C61" s="146"/>
      <c r="D61" s="146"/>
      <c r="E61" s="146"/>
      <c r="F61" s="146"/>
      <c r="G61" s="146"/>
      <c r="H61" s="146"/>
      <c r="I61" s="145"/>
    </row>
    <row r="62">
      <c r="A62" s="145"/>
      <c r="B62" s="146"/>
      <c r="C62" s="146"/>
      <c r="D62" s="146"/>
      <c r="E62" s="146"/>
      <c r="F62" s="146"/>
      <c r="G62" s="146"/>
      <c r="H62" s="146"/>
      <c r="I62" s="145"/>
    </row>
    <row r="63">
      <c r="A63" s="145"/>
      <c r="B63" s="146"/>
      <c r="C63" s="146"/>
      <c r="D63" s="146"/>
      <c r="E63" s="146"/>
      <c r="F63" s="146"/>
      <c r="G63" s="146"/>
      <c r="H63" s="146"/>
      <c r="I63" s="145"/>
    </row>
    <row r="64">
      <c r="A64" s="145"/>
      <c r="B64" s="146"/>
      <c r="C64" s="146"/>
      <c r="D64" s="146"/>
      <c r="E64" s="146"/>
      <c r="F64" s="146"/>
      <c r="G64" s="146"/>
      <c r="H64" s="146"/>
      <c r="I64" s="145"/>
    </row>
    <row r="65">
      <c r="A65" s="145"/>
      <c r="B65" s="146"/>
      <c r="C65" s="146"/>
      <c r="D65" s="146"/>
      <c r="E65" s="146"/>
      <c r="F65" s="146"/>
      <c r="G65" s="146"/>
      <c r="H65" s="146"/>
      <c r="I65" s="145"/>
    </row>
    <row r="66">
      <c r="A66" s="145"/>
      <c r="B66" s="146"/>
      <c r="C66" s="146"/>
      <c r="D66" s="146"/>
      <c r="E66" s="146"/>
      <c r="F66" s="146"/>
      <c r="G66" s="146"/>
      <c r="H66" s="146"/>
      <c r="I66" s="145"/>
    </row>
    <row r="67">
      <c r="A67" s="145"/>
      <c r="B67" s="146"/>
      <c r="C67" s="146"/>
      <c r="D67" s="146"/>
      <c r="E67" s="146"/>
      <c r="F67" s="146"/>
      <c r="G67" s="146"/>
      <c r="H67" s="146"/>
      <c r="I67" s="145"/>
    </row>
    <row r="68">
      <c r="A68" s="145"/>
      <c r="B68" s="146"/>
      <c r="C68" s="146"/>
      <c r="D68" s="146"/>
      <c r="E68" s="146"/>
      <c r="F68" s="146"/>
      <c r="G68" s="146"/>
      <c r="H68" s="146"/>
      <c r="I68" s="145"/>
    </row>
    <row r="69">
      <c r="A69" s="145"/>
      <c r="B69" s="146"/>
      <c r="C69" s="146"/>
      <c r="D69" s="146"/>
      <c r="E69" s="146"/>
      <c r="F69" s="146"/>
      <c r="G69" s="146"/>
      <c r="H69" s="146"/>
      <c r="I69" s="145"/>
    </row>
    <row r="70">
      <c r="A70" s="145"/>
      <c r="B70" s="146"/>
      <c r="C70" s="146"/>
      <c r="D70" s="146"/>
      <c r="E70" s="146"/>
      <c r="F70" s="146"/>
      <c r="G70" s="146"/>
      <c r="H70" s="146"/>
      <c r="I70" s="145"/>
    </row>
    <row r="71">
      <c r="A71" s="145"/>
      <c r="B71" s="146"/>
      <c r="C71" s="146"/>
      <c r="D71" s="146"/>
      <c r="E71" s="146"/>
      <c r="F71" s="146"/>
      <c r="G71" s="146"/>
      <c r="H71" s="146"/>
      <c r="I71" s="145"/>
    </row>
    <row r="72">
      <c r="A72" s="145"/>
      <c r="B72" s="146"/>
      <c r="C72" s="146"/>
      <c r="D72" s="146"/>
      <c r="E72" s="146"/>
      <c r="F72" s="146"/>
      <c r="G72" s="146"/>
      <c r="H72" s="146"/>
      <c r="I72" s="145"/>
    </row>
    <row r="73">
      <c r="A73" s="145"/>
      <c r="B73" s="146"/>
      <c r="C73" s="146"/>
      <c r="D73" s="146"/>
      <c r="E73" s="146"/>
      <c r="F73" s="146"/>
      <c r="G73" s="146"/>
      <c r="H73" s="146"/>
      <c r="I73" s="145"/>
    </row>
    <row r="74">
      <c r="A74" s="145"/>
      <c r="B74" s="146"/>
      <c r="C74" s="146"/>
      <c r="D74" s="146"/>
      <c r="E74" s="146"/>
      <c r="F74" s="146"/>
      <c r="G74" s="146"/>
      <c r="H74" s="146"/>
      <c r="I74" s="145"/>
    </row>
    <row r="75">
      <c r="A75" s="145"/>
      <c r="B75" s="146"/>
      <c r="C75" s="146"/>
      <c r="D75" s="146"/>
      <c r="E75" s="146"/>
      <c r="F75" s="146"/>
      <c r="G75" s="146"/>
      <c r="H75" s="146"/>
      <c r="I75" s="145"/>
    </row>
    <row r="76">
      <c r="A76" s="145"/>
      <c r="B76" s="146"/>
      <c r="C76" s="146"/>
      <c r="D76" s="146"/>
      <c r="E76" s="146"/>
      <c r="F76" s="146"/>
      <c r="G76" s="146"/>
      <c r="H76" s="146"/>
      <c r="I76" s="145"/>
    </row>
    <row r="77">
      <c r="A77" s="145"/>
      <c r="B77" s="146"/>
      <c r="C77" s="146"/>
      <c r="D77" s="146"/>
      <c r="E77" s="146"/>
      <c r="F77" s="146"/>
      <c r="G77" s="146"/>
      <c r="H77" s="146"/>
      <c r="I77" s="145"/>
    </row>
    <row r="78">
      <c r="A78" s="145"/>
      <c r="B78" s="146"/>
      <c r="C78" s="146"/>
      <c r="D78" s="146"/>
      <c r="E78" s="146"/>
      <c r="F78" s="146"/>
      <c r="G78" s="146"/>
      <c r="H78" s="146"/>
      <c r="I78" s="145"/>
    </row>
    <row r="79">
      <c r="A79" s="145"/>
      <c r="B79" s="146"/>
      <c r="C79" s="146"/>
      <c r="D79" s="146"/>
      <c r="E79" s="146"/>
      <c r="F79" s="146"/>
      <c r="G79" s="146"/>
      <c r="H79" s="146"/>
      <c r="I79" s="145"/>
    </row>
    <row r="80">
      <c r="A80" s="145"/>
      <c r="B80" s="146"/>
      <c r="C80" s="146"/>
      <c r="D80" s="146"/>
      <c r="E80" s="146"/>
      <c r="F80" s="146"/>
      <c r="G80" s="146"/>
      <c r="H80" s="146"/>
      <c r="I80" s="145"/>
    </row>
    <row r="81">
      <c r="A81" s="145"/>
      <c r="B81" s="146"/>
      <c r="C81" s="146"/>
      <c r="D81" s="146"/>
      <c r="E81" s="146"/>
      <c r="F81" s="146"/>
      <c r="G81" s="146"/>
      <c r="H81" s="146"/>
      <c r="I81" s="145"/>
    </row>
    <row r="82">
      <c r="A82" s="145"/>
      <c r="B82" s="146"/>
      <c r="C82" s="146"/>
      <c r="D82" s="146"/>
      <c r="E82" s="146"/>
      <c r="F82" s="146"/>
      <c r="G82" s="146"/>
      <c r="H82" s="146"/>
      <c r="I82" s="145"/>
    </row>
    <row r="83">
      <c r="A83" s="145"/>
      <c r="B83" s="146"/>
      <c r="C83" s="146"/>
      <c r="D83" s="146"/>
      <c r="E83" s="146"/>
      <c r="F83" s="146"/>
      <c r="G83" s="146"/>
      <c r="H83" s="146"/>
      <c r="I83" s="145"/>
    </row>
    <row r="84">
      <c r="A84" s="145"/>
      <c r="B84" s="146"/>
      <c r="C84" s="146"/>
      <c r="D84" s="146"/>
      <c r="E84" s="146"/>
      <c r="F84" s="146"/>
      <c r="G84" s="146"/>
      <c r="H84" s="146"/>
      <c r="I84" s="145"/>
    </row>
    <row r="85">
      <c r="A85" s="145"/>
      <c r="B85" s="146"/>
      <c r="C85" s="146"/>
      <c r="D85" s="146"/>
      <c r="E85" s="146"/>
      <c r="F85" s="146"/>
      <c r="G85" s="146"/>
      <c r="H85" s="146"/>
      <c r="I85" s="145"/>
    </row>
    <row r="86">
      <c r="A86" s="145"/>
      <c r="B86" s="146"/>
      <c r="C86" s="146"/>
      <c r="D86" s="146"/>
      <c r="E86" s="146"/>
      <c r="F86" s="146"/>
      <c r="G86" s="146"/>
      <c r="H86" s="146"/>
      <c r="I86" s="145"/>
    </row>
    <row r="87">
      <c r="A87" s="145"/>
      <c r="B87" s="146"/>
      <c r="C87" s="146"/>
      <c r="D87" s="146"/>
      <c r="E87" s="146"/>
      <c r="F87" s="146"/>
      <c r="G87" s="146"/>
      <c r="H87" s="146"/>
      <c r="I87" s="145"/>
    </row>
    <row r="88">
      <c r="A88" s="145"/>
      <c r="B88" s="146"/>
      <c r="C88" s="146"/>
      <c r="D88" s="146"/>
      <c r="E88" s="146"/>
      <c r="F88" s="146"/>
      <c r="G88" s="146"/>
      <c r="H88" s="146"/>
      <c r="I88" s="145"/>
    </row>
    <row r="89">
      <c r="A89" s="145"/>
      <c r="B89" s="146"/>
      <c r="C89" s="146"/>
      <c r="D89" s="146"/>
      <c r="E89" s="146"/>
      <c r="F89" s="146"/>
      <c r="G89" s="146"/>
      <c r="H89" s="146"/>
      <c r="I89" s="145"/>
    </row>
    <row r="90">
      <c r="A90" s="145"/>
      <c r="B90" s="146"/>
      <c r="C90" s="146"/>
      <c r="D90" s="146"/>
      <c r="E90" s="146"/>
      <c r="F90" s="146"/>
      <c r="G90" s="146"/>
      <c r="H90" s="146"/>
      <c r="I90" s="145"/>
    </row>
    <row r="91">
      <c r="A91" s="145"/>
      <c r="B91" s="146"/>
      <c r="C91" s="146"/>
      <c r="D91" s="146"/>
      <c r="E91" s="146"/>
      <c r="F91" s="146"/>
      <c r="G91" s="146"/>
      <c r="H91" s="146"/>
      <c r="I91" s="145"/>
    </row>
    <row r="92">
      <c r="A92" s="145"/>
      <c r="B92" s="146"/>
      <c r="C92" s="146"/>
      <c r="D92" s="146"/>
      <c r="E92" s="146"/>
      <c r="F92" s="146"/>
      <c r="G92" s="146"/>
      <c r="H92" s="146"/>
      <c r="I92" s="145"/>
    </row>
    <row r="93">
      <c r="A93" s="145"/>
      <c r="B93" s="146"/>
      <c r="C93" s="146"/>
      <c r="D93" s="146"/>
      <c r="E93" s="146"/>
      <c r="F93" s="146"/>
      <c r="G93" s="146"/>
      <c r="H93" s="146"/>
      <c r="I93" s="145"/>
    </row>
    <row r="94">
      <c r="A94" s="145"/>
      <c r="B94" s="146"/>
      <c r="C94" s="146"/>
      <c r="D94" s="146"/>
      <c r="E94" s="146"/>
      <c r="F94" s="146"/>
      <c r="G94" s="146"/>
      <c r="H94" s="146"/>
      <c r="I94" s="145"/>
    </row>
    <row r="95">
      <c r="A95" s="145"/>
      <c r="B95" s="146"/>
      <c r="C95" s="146"/>
      <c r="D95" s="146"/>
      <c r="E95" s="146"/>
      <c r="F95" s="146"/>
      <c r="G95" s="146"/>
      <c r="H95" s="146"/>
      <c r="I95" s="145"/>
    </row>
    <row r="96">
      <c r="A96" s="145"/>
      <c r="B96" s="146"/>
      <c r="C96" s="146"/>
      <c r="D96" s="146"/>
      <c r="E96" s="146"/>
      <c r="F96" s="146"/>
      <c r="G96" s="146"/>
      <c r="H96" s="146"/>
      <c r="I96" s="145"/>
    </row>
    <row r="97">
      <c r="A97" s="145"/>
      <c r="B97" s="146"/>
      <c r="C97" s="146"/>
      <c r="D97" s="146"/>
      <c r="E97" s="146"/>
      <c r="F97" s="146"/>
      <c r="G97" s="146"/>
      <c r="H97" s="146"/>
      <c r="I97" s="145"/>
    </row>
    <row r="98">
      <c r="A98" s="145"/>
      <c r="B98" s="146"/>
      <c r="C98" s="146"/>
      <c r="D98" s="146"/>
      <c r="E98" s="146"/>
      <c r="F98" s="146"/>
      <c r="G98" s="146"/>
      <c r="H98" s="146"/>
      <c r="I98" s="145"/>
    </row>
    <row r="99">
      <c r="A99" s="145"/>
      <c r="B99" s="146"/>
      <c r="C99" s="146"/>
      <c r="D99" s="146"/>
      <c r="E99" s="146"/>
      <c r="F99" s="146"/>
      <c r="G99" s="146"/>
      <c r="H99" s="146"/>
      <c r="I99" s="145"/>
    </row>
    <row r="100">
      <c r="A100" s="145"/>
      <c r="B100" s="146"/>
      <c r="C100" s="146"/>
      <c r="D100" s="146"/>
      <c r="E100" s="146"/>
      <c r="F100" s="146"/>
      <c r="G100" s="146"/>
      <c r="H100" s="146"/>
      <c r="I100" s="145"/>
    </row>
    <row r="101">
      <c r="A101" s="145"/>
      <c r="B101" s="146"/>
      <c r="C101" s="146"/>
      <c r="D101" s="146"/>
      <c r="E101" s="146"/>
      <c r="F101" s="146"/>
      <c r="G101" s="146"/>
      <c r="H101" s="146"/>
      <c r="I101" s="145"/>
    </row>
    <row r="102">
      <c r="A102" s="145"/>
      <c r="B102" s="146"/>
      <c r="C102" s="146"/>
      <c r="D102" s="146"/>
      <c r="E102" s="146"/>
      <c r="F102" s="146"/>
      <c r="G102" s="146"/>
      <c r="H102" s="146"/>
      <c r="I102" s="145"/>
    </row>
    <row r="103">
      <c r="A103" s="145"/>
      <c r="B103" s="146"/>
      <c r="C103" s="146"/>
      <c r="D103" s="146"/>
      <c r="E103" s="146"/>
      <c r="F103" s="146"/>
      <c r="G103" s="146"/>
      <c r="H103" s="146"/>
      <c r="I103" s="145"/>
    </row>
    <row r="104">
      <c r="A104" s="145"/>
      <c r="B104" s="146"/>
      <c r="C104" s="146"/>
      <c r="D104" s="146"/>
      <c r="E104" s="146"/>
      <c r="F104" s="146"/>
      <c r="G104" s="146"/>
      <c r="H104" s="146"/>
      <c r="I104" s="145"/>
    </row>
    <row r="105">
      <c r="A105" s="145"/>
      <c r="B105" s="146"/>
      <c r="C105" s="146"/>
      <c r="D105" s="146"/>
      <c r="E105" s="146"/>
      <c r="F105" s="146"/>
      <c r="G105" s="146"/>
      <c r="H105" s="146"/>
      <c r="I105" s="145"/>
    </row>
    <row r="106">
      <c r="A106" s="145"/>
      <c r="B106" s="146"/>
      <c r="C106" s="146"/>
      <c r="D106" s="146"/>
      <c r="E106" s="146"/>
      <c r="F106" s="146"/>
      <c r="G106" s="146"/>
      <c r="H106" s="146"/>
      <c r="I106" s="145"/>
    </row>
    <row r="107">
      <c r="A107" s="145"/>
      <c r="B107" s="146"/>
      <c r="C107" s="146"/>
      <c r="D107" s="146"/>
      <c r="E107" s="146"/>
      <c r="F107" s="146"/>
      <c r="G107" s="146"/>
      <c r="H107" s="146"/>
      <c r="I107" s="145"/>
    </row>
    <row r="108">
      <c r="A108" s="145"/>
      <c r="B108" s="146"/>
      <c r="C108" s="146"/>
      <c r="D108" s="146"/>
      <c r="E108" s="146"/>
      <c r="F108" s="146"/>
      <c r="G108" s="146"/>
      <c r="H108" s="146"/>
      <c r="I108" s="145"/>
    </row>
    <row r="109">
      <c r="A109" s="145"/>
      <c r="B109" s="146"/>
      <c r="C109" s="146"/>
      <c r="D109" s="146"/>
      <c r="E109" s="146"/>
      <c r="F109" s="146"/>
      <c r="G109" s="146"/>
      <c r="H109" s="146"/>
      <c r="I109" s="145"/>
    </row>
    <row r="110">
      <c r="A110" s="145"/>
      <c r="B110" s="146"/>
      <c r="C110" s="146"/>
      <c r="D110" s="146"/>
      <c r="E110" s="146"/>
      <c r="F110" s="146"/>
      <c r="G110" s="146"/>
      <c r="H110" s="146"/>
      <c r="I110" s="145"/>
    </row>
    <row r="111">
      <c r="A111" s="145"/>
      <c r="B111" s="146"/>
      <c r="C111" s="146"/>
      <c r="D111" s="146"/>
      <c r="E111" s="146"/>
      <c r="F111" s="146"/>
      <c r="G111" s="146"/>
      <c r="H111" s="146"/>
      <c r="I111" s="145"/>
    </row>
    <row r="112">
      <c r="A112" s="145"/>
      <c r="B112" s="146"/>
      <c r="C112" s="146"/>
      <c r="D112" s="146"/>
      <c r="E112" s="146"/>
      <c r="F112" s="146"/>
      <c r="G112" s="146"/>
      <c r="H112" s="146"/>
      <c r="I112" s="145"/>
    </row>
    <row r="113">
      <c r="A113" s="145"/>
      <c r="B113" s="146"/>
      <c r="C113" s="146"/>
      <c r="D113" s="146"/>
      <c r="E113" s="146"/>
      <c r="F113" s="146"/>
      <c r="G113" s="146"/>
      <c r="H113" s="146"/>
      <c r="I113" s="145"/>
    </row>
    <row r="114">
      <c r="A114" s="145"/>
      <c r="B114" s="146"/>
      <c r="C114" s="146"/>
      <c r="D114" s="146"/>
      <c r="E114" s="146"/>
      <c r="F114" s="146"/>
      <c r="G114" s="146"/>
      <c r="H114" s="146"/>
      <c r="I114" s="145"/>
    </row>
    <row r="115">
      <c r="A115" s="145"/>
      <c r="B115" s="146"/>
      <c r="C115" s="146"/>
      <c r="D115" s="146"/>
      <c r="E115" s="146"/>
      <c r="F115" s="146"/>
      <c r="G115" s="146"/>
      <c r="H115" s="146"/>
      <c r="I115" s="145"/>
    </row>
    <row r="116">
      <c r="A116" s="145"/>
      <c r="B116" s="146"/>
      <c r="C116" s="146"/>
      <c r="D116" s="146"/>
      <c r="E116" s="146"/>
      <c r="F116" s="146"/>
      <c r="G116" s="146"/>
      <c r="H116" s="146"/>
      <c r="I116" s="145"/>
    </row>
    <row r="117">
      <c r="A117" s="145"/>
      <c r="B117" s="146"/>
      <c r="C117" s="146"/>
      <c r="D117" s="146"/>
      <c r="E117" s="146"/>
      <c r="F117" s="146"/>
      <c r="G117" s="146"/>
      <c r="H117" s="146"/>
      <c r="I117" s="145"/>
    </row>
    <row r="118">
      <c r="A118" s="145"/>
      <c r="B118" s="146"/>
      <c r="C118" s="146"/>
      <c r="D118" s="146"/>
      <c r="E118" s="146"/>
      <c r="F118" s="146"/>
      <c r="G118" s="146"/>
      <c r="H118" s="146"/>
      <c r="I118" s="145"/>
    </row>
    <row r="119">
      <c r="A119" s="145"/>
      <c r="B119" s="146"/>
      <c r="C119" s="146"/>
      <c r="D119" s="146"/>
      <c r="E119" s="146"/>
      <c r="F119" s="146"/>
      <c r="G119" s="146"/>
      <c r="H119" s="146"/>
      <c r="I119" s="145"/>
    </row>
    <row r="120">
      <c r="A120" s="145"/>
      <c r="B120" s="146"/>
      <c r="C120" s="146"/>
      <c r="D120" s="146"/>
      <c r="E120" s="146"/>
      <c r="F120" s="146"/>
      <c r="G120" s="146"/>
      <c r="H120" s="146"/>
      <c r="I120" s="145"/>
    </row>
    <row r="121">
      <c r="A121" s="145"/>
      <c r="B121" s="146"/>
      <c r="C121" s="146"/>
      <c r="D121" s="146"/>
      <c r="E121" s="146"/>
      <c r="F121" s="146"/>
      <c r="G121" s="146"/>
      <c r="H121" s="146"/>
      <c r="I121" s="145"/>
    </row>
    <row r="122">
      <c r="A122" s="145"/>
      <c r="B122" s="146"/>
      <c r="C122" s="146"/>
      <c r="D122" s="146"/>
      <c r="E122" s="146"/>
      <c r="F122" s="146"/>
      <c r="G122" s="146"/>
      <c r="H122" s="146"/>
      <c r="I122" s="145"/>
    </row>
    <row r="123">
      <c r="A123" s="145"/>
      <c r="B123" s="146"/>
      <c r="C123" s="146"/>
      <c r="D123" s="146"/>
      <c r="E123" s="146"/>
      <c r="F123" s="146"/>
      <c r="G123" s="146"/>
      <c r="H123" s="146"/>
      <c r="I123" s="145"/>
    </row>
    <row r="124">
      <c r="A124" s="145"/>
      <c r="B124" s="146"/>
      <c r="C124" s="146"/>
      <c r="D124" s="146"/>
      <c r="E124" s="146"/>
      <c r="F124" s="146"/>
      <c r="G124" s="146"/>
      <c r="H124" s="146"/>
      <c r="I124" s="145"/>
    </row>
    <row r="125">
      <c r="A125" s="145"/>
      <c r="B125" s="146"/>
      <c r="C125" s="146"/>
      <c r="D125" s="146"/>
      <c r="E125" s="146"/>
      <c r="F125" s="146"/>
      <c r="G125" s="146"/>
      <c r="H125" s="146"/>
      <c r="I125" s="145"/>
    </row>
    <row r="126">
      <c r="A126" s="145"/>
      <c r="B126" s="146"/>
      <c r="C126" s="146"/>
      <c r="D126" s="146"/>
      <c r="E126" s="146"/>
      <c r="F126" s="146"/>
      <c r="G126" s="146"/>
      <c r="H126" s="146"/>
      <c r="I126" s="145"/>
    </row>
    <row r="127">
      <c r="A127" s="145"/>
      <c r="B127" s="146"/>
      <c r="C127" s="146"/>
      <c r="D127" s="146"/>
      <c r="E127" s="146"/>
      <c r="F127" s="146"/>
      <c r="G127" s="146"/>
      <c r="H127" s="146"/>
      <c r="I127" s="145"/>
    </row>
    <row r="128">
      <c r="A128" s="145"/>
      <c r="B128" s="146"/>
      <c r="C128" s="146"/>
      <c r="D128" s="146"/>
      <c r="E128" s="146"/>
      <c r="F128" s="146"/>
      <c r="G128" s="146"/>
      <c r="H128" s="146"/>
      <c r="I128" s="145"/>
    </row>
    <row r="129">
      <c r="A129" s="145"/>
      <c r="B129" s="146"/>
      <c r="C129" s="146"/>
      <c r="D129" s="146"/>
      <c r="E129" s="146"/>
      <c r="F129" s="146"/>
      <c r="G129" s="146"/>
      <c r="H129" s="146"/>
      <c r="I129" s="145"/>
    </row>
    <row r="130">
      <c r="A130" s="145"/>
      <c r="B130" s="146"/>
      <c r="C130" s="146"/>
      <c r="D130" s="146"/>
      <c r="E130" s="146"/>
      <c r="F130" s="146"/>
      <c r="G130" s="146"/>
      <c r="H130" s="146"/>
      <c r="I130" s="145"/>
    </row>
    <row r="131">
      <c r="A131" s="145"/>
      <c r="B131" s="146"/>
      <c r="C131" s="146"/>
      <c r="D131" s="146"/>
      <c r="E131" s="146"/>
      <c r="F131" s="146"/>
      <c r="G131" s="146"/>
      <c r="H131" s="146"/>
      <c r="I131" s="145"/>
    </row>
    <row r="132">
      <c r="A132" s="145"/>
      <c r="B132" s="146"/>
      <c r="C132" s="146"/>
      <c r="D132" s="146"/>
      <c r="E132" s="146"/>
      <c r="F132" s="146"/>
      <c r="G132" s="146"/>
      <c r="H132" s="146"/>
      <c r="I132" s="145"/>
    </row>
    <row r="133">
      <c r="A133" s="145"/>
      <c r="B133" s="146"/>
      <c r="C133" s="146"/>
      <c r="D133" s="146"/>
      <c r="E133" s="146"/>
      <c r="F133" s="146"/>
      <c r="G133" s="146"/>
      <c r="H133" s="146"/>
      <c r="I133" s="145"/>
    </row>
    <row r="134">
      <c r="A134" s="145"/>
      <c r="B134" s="146"/>
      <c r="C134" s="146"/>
      <c r="D134" s="146"/>
      <c r="E134" s="146"/>
      <c r="F134" s="146"/>
      <c r="G134" s="146"/>
      <c r="H134" s="146"/>
      <c r="I134" s="145"/>
    </row>
    <row r="135">
      <c r="A135" s="145"/>
      <c r="B135" s="146"/>
      <c r="C135" s="146"/>
      <c r="D135" s="146"/>
      <c r="E135" s="146"/>
      <c r="F135" s="146"/>
      <c r="G135" s="146"/>
      <c r="H135" s="146"/>
      <c r="I135" s="145"/>
    </row>
    <row r="136">
      <c r="A136" s="145"/>
      <c r="B136" s="146"/>
      <c r="C136" s="146"/>
      <c r="D136" s="146"/>
      <c r="E136" s="146"/>
      <c r="F136" s="146"/>
      <c r="G136" s="146"/>
      <c r="H136" s="146"/>
      <c r="I136" s="145"/>
    </row>
    <row r="137">
      <c r="A137" s="145"/>
      <c r="B137" s="146"/>
      <c r="C137" s="146"/>
      <c r="D137" s="146"/>
      <c r="E137" s="146"/>
      <c r="F137" s="146"/>
      <c r="G137" s="146"/>
      <c r="H137" s="146"/>
      <c r="I137" s="145"/>
    </row>
    <row r="138">
      <c r="A138" s="145"/>
      <c r="B138" s="146"/>
      <c r="C138" s="146"/>
      <c r="D138" s="146"/>
      <c r="E138" s="146"/>
      <c r="F138" s="146"/>
      <c r="G138" s="146"/>
      <c r="H138" s="146"/>
      <c r="I138" s="145"/>
    </row>
    <row r="139">
      <c r="A139" s="145"/>
      <c r="B139" s="146"/>
      <c r="C139" s="146"/>
      <c r="D139" s="146"/>
      <c r="E139" s="146"/>
      <c r="F139" s="146"/>
      <c r="G139" s="146"/>
      <c r="H139" s="146"/>
      <c r="I139" s="145"/>
    </row>
    <row r="140">
      <c r="A140" s="145"/>
      <c r="B140" s="146"/>
      <c r="C140" s="146"/>
      <c r="D140" s="146"/>
      <c r="E140" s="146"/>
      <c r="F140" s="146"/>
      <c r="G140" s="146"/>
      <c r="H140" s="146"/>
      <c r="I140" s="145"/>
    </row>
    <row r="141">
      <c r="A141" s="145"/>
      <c r="B141" s="146"/>
      <c r="C141" s="146"/>
      <c r="D141" s="146"/>
      <c r="E141" s="146"/>
      <c r="F141" s="146"/>
      <c r="G141" s="146"/>
      <c r="H141" s="146"/>
      <c r="I141" s="145"/>
    </row>
    <row r="142">
      <c r="A142" s="145"/>
      <c r="B142" s="146"/>
      <c r="C142" s="146"/>
      <c r="D142" s="146"/>
      <c r="E142" s="146"/>
      <c r="F142" s="146"/>
      <c r="G142" s="146"/>
      <c r="H142" s="146"/>
      <c r="I142" s="145"/>
    </row>
    <row r="143">
      <c r="A143" s="145"/>
      <c r="B143" s="146"/>
      <c r="C143" s="146"/>
      <c r="D143" s="146"/>
      <c r="E143" s="146"/>
      <c r="F143" s="146"/>
      <c r="G143" s="146"/>
      <c r="H143" s="146"/>
      <c r="I143" s="145"/>
    </row>
    <row r="144">
      <c r="A144" s="145"/>
      <c r="B144" s="146"/>
      <c r="C144" s="146"/>
      <c r="D144" s="146"/>
      <c r="E144" s="146"/>
      <c r="F144" s="146"/>
      <c r="G144" s="146"/>
      <c r="H144" s="146"/>
      <c r="I144" s="145"/>
    </row>
    <row r="145">
      <c r="A145" s="145"/>
      <c r="B145" s="146"/>
      <c r="C145" s="146"/>
      <c r="D145" s="146"/>
      <c r="E145" s="146"/>
      <c r="F145" s="146"/>
      <c r="G145" s="146"/>
      <c r="H145" s="146"/>
      <c r="I145" s="145"/>
    </row>
    <row r="146">
      <c r="A146" s="145"/>
      <c r="B146" s="146"/>
      <c r="C146" s="146"/>
      <c r="D146" s="146"/>
      <c r="E146" s="146"/>
      <c r="F146" s="146"/>
      <c r="G146" s="146"/>
      <c r="H146" s="146"/>
      <c r="I146" s="145"/>
    </row>
    <row r="147">
      <c r="A147" s="145"/>
      <c r="B147" s="146"/>
      <c r="C147" s="146"/>
      <c r="D147" s="146"/>
      <c r="E147" s="146"/>
      <c r="F147" s="146"/>
      <c r="G147" s="146"/>
      <c r="H147" s="146"/>
      <c r="I147" s="145"/>
    </row>
    <row r="148">
      <c r="A148" s="145"/>
      <c r="B148" s="146"/>
      <c r="C148" s="146"/>
      <c r="D148" s="146"/>
      <c r="E148" s="146"/>
      <c r="F148" s="146"/>
      <c r="G148" s="146"/>
      <c r="H148" s="146"/>
      <c r="I148" s="145"/>
    </row>
    <row r="149">
      <c r="A149" s="145"/>
      <c r="B149" s="146"/>
      <c r="C149" s="146"/>
      <c r="D149" s="146"/>
      <c r="E149" s="146"/>
      <c r="F149" s="146"/>
      <c r="G149" s="146"/>
      <c r="H149" s="146"/>
      <c r="I149" s="145"/>
    </row>
    <row r="150">
      <c r="A150" s="145"/>
      <c r="B150" s="146"/>
      <c r="C150" s="146"/>
      <c r="D150" s="146"/>
      <c r="E150" s="146"/>
      <c r="F150" s="146"/>
      <c r="G150" s="146"/>
      <c r="H150" s="146"/>
      <c r="I150" s="145"/>
    </row>
    <row r="151">
      <c r="A151" s="145"/>
      <c r="B151" s="146"/>
      <c r="C151" s="146"/>
      <c r="D151" s="146"/>
      <c r="E151" s="146"/>
      <c r="F151" s="146"/>
      <c r="G151" s="146"/>
      <c r="H151" s="146"/>
      <c r="I151" s="145"/>
    </row>
    <row r="152">
      <c r="A152" s="145"/>
      <c r="B152" s="146"/>
      <c r="C152" s="146"/>
      <c r="D152" s="146"/>
      <c r="E152" s="146"/>
      <c r="F152" s="146"/>
      <c r="G152" s="146"/>
      <c r="H152" s="146"/>
      <c r="I152" s="145"/>
    </row>
    <row r="153">
      <c r="A153" s="145"/>
      <c r="B153" s="146"/>
      <c r="C153" s="146"/>
      <c r="D153" s="146"/>
      <c r="E153" s="146"/>
      <c r="F153" s="146"/>
      <c r="G153" s="146"/>
      <c r="H153" s="146"/>
      <c r="I153" s="145"/>
    </row>
    <row r="154">
      <c r="B154" s="146"/>
      <c r="C154" s="146"/>
      <c r="D154" s="146"/>
      <c r="E154" s="146"/>
      <c r="F154" s="146"/>
      <c r="G154" s="146"/>
      <c r="H154" s="146"/>
    </row>
    <row r="155">
      <c r="B155" s="146"/>
      <c r="C155" s="146"/>
      <c r="D155" s="146"/>
      <c r="E155" s="146"/>
      <c r="F155" s="146"/>
      <c r="G155" s="146"/>
      <c r="H155" s="146"/>
    </row>
    <row r="156">
      <c r="B156" s="146"/>
      <c r="C156" s="146"/>
      <c r="D156" s="146"/>
      <c r="E156" s="146"/>
      <c r="F156" s="146"/>
      <c r="G156" s="146"/>
      <c r="H156" s="146"/>
    </row>
    <row r="157">
      <c r="B157" s="146"/>
      <c r="C157" s="146"/>
      <c r="D157" s="146"/>
      <c r="E157" s="146"/>
      <c r="F157" s="146"/>
      <c r="G157" s="146"/>
      <c r="H157" s="146"/>
    </row>
    <row r="158">
      <c r="B158" s="146"/>
      <c r="C158" s="146"/>
      <c r="D158" s="146"/>
      <c r="E158" s="146"/>
      <c r="F158" s="146"/>
      <c r="G158" s="146"/>
      <c r="H158" s="146"/>
    </row>
    <row r="159">
      <c r="B159" s="146"/>
      <c r="C159" s="146"/>
      <c r="D159" s="146"/>
      <c r="E159" s="146"/>
      <c r="F159" s="146"/>
      <c r="G159" s="146"/>
      <c r="H159" s="146"/>
    </row>
    <row r="160">
      <c r="B160" s="146"/>
      <c r="C160" s="146"/>
      <c r="D160" s="146"/>
      <c r="E160" s="146"/>
      <c r="F160" s="146"/>
      <c r="G160" s="146"/>
      <c r="H160" s="146"/>
    </row>
    <row r="161">
      <c r="B161" s="146"/>
      <c r="C161" s="146"/>
      <c r="D161" s="146"/>
      <c r="E161" s="146"/>
      <c r="F161" s="146"/>
      <c r="G161" s="146"/>
      <c r="H161" s="146"/>
    </row>
    <row r="162">
      <c r="B162" s="146"/>
      <c r="C162" s="146"/>
      <c r="D162" s="146"/>
      <c r="E162" s="146"/>
      <c r="F162" s="146"/>
      <c r="G162" s="146"/>
      <c r="H162" s="146"/>
    </row>
    <row r="163">
      <c r="B163" s="146"/>
      <c r="C163" s="146"/>
      <c r="D163" s="146"/>
      <c r="E163" s="146"/>
      <c r="F163" s="146"/>
      <c r="G163" s="146"/>
      <c r="H163" s="146"/>
    </row>
    <row r="164">
      <c r="B164" s="146"/>
      <c r="C164" s="146"/>
      <c r="D164" s="146"/>
      <c r="E164" s="146"/>
      <c r="F164" s="146"/>
      <c r="G164" s="146"/>
      <c r="H164" s="146"/>
    </row>
    <row r="165">
      <c r="B165" s="146"/>
      <c r="C165" s="146"/>
      <c r="D165" s="146"/>
      <c r="E165" s="146"/>
      <c r="F165" s="146"/>
      <c r="G165" s="146"/>
      <c r="H165" s="146"/>
    </row>
    <row r="166">
      <c r="B166" s="146"/>
      <c r="C166" s="146"/>
      <c r="D166" s="146"/>
      <c r="E166" s="146"/>
      <c r="F166" s="146"/>
      <c r="G166" s="146"/>
      <c r="H166" s="146"/>
    </row>
    <row r="167">
      <c r="B167" s="146"/>
      <c r="C167" s="146"/>
      <c r="D167" s="146"/>
      <c r="E167" s="146"/>
      <c r="F167" s="146"/>
      <c r="G167" s="146"/>
      <c r="H167" s="146"/>
    </row>
    <row r="168">
      <c r="B168" s="146"/>
      <c r="C168" s="146"/>
      <c r="D168" s="146"/>
      <c r="E168" s="146"/>
      <c r="F168" s="146"/>
      <c r="G168" s="146"/>
      <c r="H168" s="146"/>
    </row>
    <row r="169">
      <c r="B169" s="146"/>
      <c r="C169" s="146"/>
      <c r="D169" s="146"/>
      <c r="E169" s="146"/>
      <c r="F169" s="146"/>
      <c r="G169" s="146"/>
      <c r="H169" s="146"/>
    </row>
    <row r="170">
      <c r="B170" s="146"/>
      <c r="C170" s="146"/>
      <c r="D170" s="146"/>
      <c r="E170" s="146"/>
      <c r="F170" s="146"/>
      <c r="G170" s="146"/>
      <c r="H170" s="146"/>
    </row>
    <row r="171">
      <c r="B171" s="146"/>
      <c r="C171" s="146"/>
      <c r="D171" s="146"/>
      <c r="E171" s="146"/>
      <c r="F171" s="146"/>
      <c r="G171" s="146"/>
      <c r="H171" s="146"/>
    </row>
    <row r="172">
      <c r="B172" s="146"/>
      <c r="C172" s="146"/>
      <c r="D172" s="146"/>
      <c r="E172" s="146"/>
      <c r="F172" s="146"/>
      <c r="G172" s="146"/>
      <c r="H172" s="146"/>
    </row>
    <row r="173">
      <c r="B173" s="146"/>
      <c r="C173" s="146"/>
      <c r="D173" s="146"/>
      <c r="E173" s="146"/>
      <c r="F173" s="146"/>
      <c r="G173" s="146"/>
      <c r="H173" s="146"/>
    </row>
    <row r="174">
      <c r="B174" s="146"/>
      <c r="C174" s="146"/>
      <c r="D174" s="146"/>
      <c r="E174" s="146"/>
      <c r="F174" s="146"/>
      <c r="G174" s="146"/>
      <c r="H174" s="146"/>
    </row>
    <row r="175">
      <c r="B175" s="146"/>
      <c r="C175" s="146"/>
      <c r="D175" s="146"/>
      <c r="E175" s="146"/>
      <c r="F175" s="146"/>
      <c r="G175" s="146"/>
      <c r="H175" s="146"/>
    </row>
    <row r="176">
      <c r="B176" s="146"/>
      <c r="C176" s="146"/>
      <c r="D176" s="146"/>
      <c r="E176" s="146"/>
      <c r="F176" s="146"/>
      <c r="G176" s="146"/>
      <c r="H176" s="146"/>
    </row>
    <row r="177">
      <c r="B177" s="146"/>
      <c r="C177" s="146"/>
      <c r="D177" s="146"/>
      <c r="E177" s="146"/>
      <c r="F177" s="146"/>
      <c r="G177" s="146"/>
      <c r="H177" s="146"/>
    </row>
    <row r="178">
      <c r="B178" s="146"/>
      <c r="C178" s="146"/>
      <c r="D178" s="146"/>
      <c r="E178" s="146"/>
      <c r="F178" s="146"/>
      <c r="G178" s="146"/>
      <c r="H178" s="146"/>
    </row>
    <row r="179">
      <c r="B179" s="146"/>
      <c r="C179" s="146"/>
      <c r="D179" s="146"/>
      <c r="E179" s="146"/>
      <c r="F179" s="146"/>
      <c r="G179" s="146"/>
      <c r="H179" s="146"/>
    </row>
    <row r="180">
      <c r="B180" s="146"/>
      <c r="C180" s="146"/>
      <c r="D180" s="146"/>
      <c r="E180" s="146"/>
      <c r="F180" s="146"/>
      <c r="G180" s="146"/>
      <c r="H180" s="146"/>
    </row>
    <row r="181">
      <c r="B181" s="146"/>
      <c r="C181" s="146"/>
      <c r="D181" s="146"/>
      <c r="E181" s="146"/>
      <c r="F181" s="146"/>
      <c r="G181" s="146"/>
      <c r="H181" s="146"/>
    </row>
    <row r="182">
      <c r="B182" s="146"/>
      <c r="C182" s="146"/>
      <c r="D182" s="146"/>
      <c r="E182" s="146"/>
      <c r="F182" s="146"/>
      <c r="G182" s="146"/>
      <c r="H182" s="146"/>
    </row>
    <row r="183">
      <c r="B183" s="146"/>
      <c r="C183" s="146"/>
      <c r="D183" s="146"/>
      <c r="E183" s="146"/>
      <c r="F183" s="146"/>
      <c r="G183" s="146"/>
      <c r="H183" s="146"/>
    </row>
    <row r="184">
      <c r="B184" s="146"/>
      <c r="C184" s="146"/>
      <c r="D184" s="146"/>
      <c r="E184" s="146"/>
      <c r="F184" s="146"/>
      <c r="G184" s="146"/>
      <c r="H184" s="146"/>
    </row>
    <row r="185">
      <c r="B185" s="146"/>
      <c r="C185" s="146"/>
      <c r="D185" s="146"/>
      <c r="E185" s="146"/>
      <c r="F185" s="146"/>
      <c r="G185" s="146"/>
      <c r="H185" s="146"/>
    </row>
    <row r="186">
      <c r="B186" s="146"/>
      <c r="C186" s="146"/>
      <c r="D186" s="146"/>
      <c r="E186" s="146"/>
      <c r="F186" s="146"/>
      <c r="G186" s="146"/>
      <c r="H186" s="146"/>
    </row>
    <row r="187">
      <c r="B187" s="146"/>
      <c r="C187" s="146"/>
      <c r="D187" s="146"/>
      <c r="E187" s="146"/>
      <c r="F187" s="146"/>
      <c r="G187" s="146"/>
      <c r="H187" s="146"/>
    </row>
    <row r="188">
      <c r="B188" s="146"/>
      <c r="C188" s="146"/>
      <c r="D188" s="146"/>
      <c r="E188" s="146"/>
      <c r="F188" s="146"/>
      <c r="G188" s="146"/>
      <c r="H188" s="146"/>
    </row>
    <row r="189">
      <c r="B189" s="146"/>
      <c r="C189" s="146"/>
      <c r="D189" s="146"/>
      <c r="E189" s="146"/>
      <c r="F189" s="146"/>
      <c r="G189" s="146"/>
      <c r="H189" s="146"/>
    </row>
    <row r="190">
      <c r="B190" s="146"/>
      <c r="C190" s="146"/>
      <c r="D190" s="146"/>
      <c r="E190" s="146"/>
      <c r="F190" s="146"/>
      <c r="G190" s="146"/>
      <c r="H190" s="146"/>
    </row>
    <row r="191">
      <c r="B191" s="146"/>
      <c r="C191" s="146"/>
      <c r="D191" s="146"/>
      <c r="E191" s="146"/>
      <c r="F191" s="146"/>
      <c r="G191" s="146"/>
      <c r="H191" s="146"/>
    </row>
    <row r="192">
      <c r="B192" s="146"/>
      <c r="C192" s="146"/>
      <c r="D192" s="146"/>
      <c r="E192" s="146"/>
      <c r="F192" s="146"/>
      <c r="G192" s="146"/>
      <c r="H192" s="146"/>
    </row>
    <row r="193">
      <c r="B193" s="146"/>
      <c r="C193" s="146"/>
      <c r="D193" s="146"/>
      <c r="E193" s="146"/>
      <c r="F193" s="146"/>
      <c r="G193" s="146"/>
      <c r="H193" s="146"/>
    </row>
    <row r="194">
      <c r="B194" s="146"/>
      <c r="C194" s="146"/>
      <c r="D194" s="146"/>
      <c r="E194" s="146"/>
      <c r="F194" s="146"/>
      <c r="G194" s="146"/>
      <c r="H194" s="146"/>
    </row>
    <row r="195">
      <c r="B195" s="146"/>
      <c r="C195" s="146"/>
      <c r="D195" s="146"/>
      <c r="E195" s="146"/>
      <c r="F195" s="146"/>
      <c r="G195" s="146"/>
      <c r="H195" s="146"/>
    </row>
    <row r="196">
      <c r="B196" s="146"/>
      <c r="C196" s="146"/>
      <c r="D196" s="146"/>
      <c r="E196" s="146"/>
      <c r="F196" s="146"/>
      <c r="G196" s="146"/>
      <c r="H196" s="146"/>
    </row>
    <row r="197">
      <c r="B197" s="146"/>
      <c r="C197" s="146"/>
      <c r="D197" s="146"/>
      <c r="E197" s="146"/>
      <c r="F197" s="146"/>
      <c r="G197" s="146"/>
      <c r="H197" s="146"/>
    </row>
    <row r="198">
      <c r="B198" s="146"/>
      <c r="C198" s="146"/>
      <c r="D198" s="146"/>
      <c r="E198" s="146"/>
      <c r="F198" s="146"/>
      <c r="G198" s="146"/>
      <c r="H198" s="146"/>
    </row>
    <row r="199">
      <c r="B199" s="146"/>
      <c r="C199" s="146"/>
      <c r="D199" s="146"/>
      <c r="E199" s="146"/>
      <c r="F199" s="146"/>
      <c r="G199" s="146"/>
      <c r="H199" s="146"/>
    </row>
    <row r="200">
      <c r="B200" s="146"/>
      <c r="C200" s="146"/>
      <c r="D200" s="146"/>
      <c r="E200" s="146"/>
      <c r="F200" s="146"/>
      <c r="G200" s="146"/>
      <c r="H200" s="146"/>
    </row>
    <row r="201">
      <c r="B201" s="146"/>
      <c r="C201" s="146"/>
      <c r="D201" s="146"/>
      <c r="E201" s="146"/>
      <c r="F201" s="146"/>
      <c r="G201" s="146"/>
      <c r="H201" s="146"/>
    </row>
    <row r="202">
      <c r="B202" s="146"/>
      <c r="C202" s="146"/>
      <c r="D202" s="146"/>
      <c r="E202" s="146"/>
      <c r="F202" s="146"/>
      <c r="G202" s="146"/>
      <c r="H202" s="146"/>
    </row>
    <row r="203">
      <c r="B203" s="146"/>
      <c r="C203" s="146"/>
      <c r="D203" s="146"/>
      <c r="E203" s="146"/>
      <c r="F203" s="146"/>
      <c r="G203" s="146"/>
      <c r="H203" s="146"/>
    </row>
    <row r="204">
      <c r="B204" s="146"/>
      <c r="C204" s="146"/>
      <c r="D204" s="146"/>
      <c r="E204" s="146"/>
      <c r="F204" s="146"/>
      <c r="G204" s="146"/>
      <c r="H204" s="146"/>
    </row>
    <row r="205">
      <c r="B205" s="146"/>
      <c r="C205" s="146"/>
      <c r="D205" s="146"/>
      <c r="E205" s="146"/>
      <c r="F205" s="146"/>
      <c r="G205" s="146"/>
      <c r="H205" s="146"/>
    </row>
    <row r="206">
      <c r="B206" s="146"/>
      <c r="C206" s="146"/>
      <c r="D206" s="146"/>
      <c r="E206" s="146"/>
      <c r="F206" s="146"/>
      <c r="G206" s="146"/>
      <c r="H206" s="146"/>
    </row>
    <row r="207">
      <c r="B207" s="146"/>
      <c r="C207" s="146"/>
      <c r="D207" s="146"/>
      <c r="E207" s="146"/>
      <c r="F207" s="146"/>
      <c r="G207" s="146"/>
      <c r="H207" s="146"/>
    </row>
    <row r="208">
      <c r="B208" s="146"/>
      <c r="C208" s="146"/>
      <c r="D208" s="146"/>
      <c r="E208" s="146"/>
      <c r="F208" s="146"/>
      <c r="G208" s="146"/>
      <c r="H208" s="146"/>
    </row>
    <row r="209">
      <c r="B209" s="146"/>
      <c r="C209" s="146"/>
      <c r="D209" s="146"/>
      <c r="E209" s="146"/>
      <c r="F209" s="146"/>
      <c r="G209" s="146"/>
      <c r="H209" s="146"/>
    </row>
    <row r="210">
      <c r="B210" s="146"/>
      <c r="C210" s="146"/>
      <c r="D210" s="146"/>
      <c r="E210" s="146"/>
      <c r="F210" s="146"/>
      <c r="G210" s="146"/>
      <c r="H210" s="146"/>
    </row>
    <row r="211">
      <c r="B211" s="146"/>
      <c r="C211" s="146"/>
      <c r="D211" s="146"/>
      <c r="E211" s="146"/>
      <c r="F211" s="146"/>
      <c r="G211" s="146"/>
      <c r="H211" s="146"/>
    </row>
    <row r="212">
      <c r="B212" s="146"/>
      <c r="C212" s="146"/>
      <c r="D212" s="146"/>
      <c r="E212" s="146"/>
      <c r="F212" s="146"/>
      <c r="G212" s="146"/>
      <c r="H212" s="146"/>
    </row>
    <row r="213">
      <c r="B213" s="146"/>
      <c r="C213" s="146"/>
      <c r="D213" s="146"/>
      <c r="E213" s="146"/>
      <c r="F213" s="146"/>
      <c r="G213" s="146"/>
      <c r="H213" s="146"/>
    </row>
    <row r="214">
      <c r="B214" s="146"/>
      <c r="C214" s="146"/>
      <c r="D214" s="146"/>
      <c r="E214" s="146"/>
      <c r="F214" s="146"/>
      <c r="G214" s="146"/>
      <c r="H214" s="146"/>
    </row>
    <row r="215">
      <c r="B215" s="146"/>
      <c r="C215" s="146"/>
      <c r="D215" s="146"/>
      <c r="E215" s="146"/>
      <c r="F215" s="146"/>
      <c r="G215" s="146"/>
      <c r="H215" s="146"/>
    </row>
    <row r="216">
      <c r="B216" s="146"/>
      <c r="C216" s="146"/>
      <c r="D216" s="146"/>
      <c r="E216" s="146"/>
      <c r="F216" s="146"/>
      <c r="G216" s="146"/>
      <c r="H216" s="146"/>
    </row>
    <row r="217">
      <c r="B217" s="146"/>
      <c r="C217" s="146"/>
      <c r="D217" s="146"/>
      <c r="E217" s="146"/>
      <c r="F217" s="146"/>
      <c r="G217" s="146"/>
      <c r="H217" s="146"/>
    </row>
    <row r="218">
      <c r="B218" s="146"/>
      <c r="C218" s="146"/>
      <c r="D218" s="146"/>
      <c r="E218" s="146"/>
      <c r="F218" s="146"/>
      <c r="G218" s="146"/>
      <c r="H218" s="146"/>
    </row>
    <row r="219">
      <c r="B219" s="146"/>
      <c r="C219" s="146"/>
      <c r="D219" s="146"/>
      <c r="E219" s="146"/>
      <c r="F219" s="146"/>
      <c r="G219" s="146"/>
      <c r="H219" s="146"/>
    </row>
    <row r="220">
      <c r="B220" s="146"/>
      <c r="C220" s="146"/>
      <c r="D220" s="146"/>
      <c r="E220" s="146"/>
      <c r="F220" s="146"/>
      <c r="G220" s="146"/>
      <c r="H220" s="146"/>
    </row>
    <row r="221">
      <c r="B221" s="146"/>
      <c r="C221" s="146"/>
      <c r="D221" s="146"/>
      <c r="E221" s="146"/>
      <c r="F221" s="146"/>
      <c r="G221" s="146"/>
      <c r="H221" s="146"/>
    </row>
    <row r="222">
      <c r="B222" s="146"/>
      <c r="C222" s="146"/>
      <c r="D222" s="146"/>
      <c r="E222" s="146"/>
      <c r="F222" s="146"/>
      <c r="G222" s="146"/>
      <c r="H222" s="146"/>
    </row>
    <row r="223">
      <c r="B223" s="146"/>
      <c r="C223" s="146"/>
      <c r="D223" s="146"/>
      <c r="E223" s="146"/>
      <c r="F223" s="146"/>
      <c r="G223" s="146"/>
      <c r="H223" s="146"/>
    </row>
    <row r="224">
      <c r="B224" s="146"/>
      <c r="C224" s="146"/>
      <c r="D224" s="146"/>
      <c r="E224" s="146"/>
      <c r="F224" s="146"/>
      <c r="G224" s="146"/>
      <c r="H224" s="146"/>
    </row>
    <row r="225">
      <c r="B225" s="146"/>
      <c r="C225" s="146"/>
      <c r="D225" s="146"/>
      <c r="E225" s="146"/>
      <c r="F225" s="146"/>
      <c r="G225" s="146"/>
      <c r="H225" s="146"/>
    </row>
    <row r="226">
      <c r="B226" s="146"/>
      <c r="C226" s="146"/>
      <c r="D226" s="146"/>
      <c r="E226" s="146"/>
      <c r="F226" s="146"/>
      <c r="G226" s="146"/>
      <c r="H226" s="146"/>
    </row>
    <row r="227">
      <c r="B227" s="146"/>
      <c r="C227" s="146"/>
      <c r="D227" s="146"/>
      <c r="E227" s="146"/>
      <c r="F227" s="146"/>
      <c r="G227" s="146"/>
      <c r="H227" s="146"/>
    </row>
    <row r="228">
      <c r="B228" s="146"/>
      <c r="C228" s="146"/>
      <c r="D228" s="146"/>
      <c r="E228" s="146"/>
      <c r="F228" s="146"/>
      <c r="G228" s="146"/>
      <c r="H228" s="146"/>
    </row>
    <row r="229">
      <c r="B229" s="146"/>
      <c r="C229" s="146"/>
      <c r="D229" s="146"/>
      <c r="E229" s="146"/>
      <c r="F229" s="146"/>
      <c r="G229" s="146"/>
      <c r="H229" s="146"/>
    </row>
    <row r="230">
      <c r="B230" s="146"/>
      <c r="C230" s="146"/>
      <c r="D230" s="146"/>
      <c r="E230" s="146"/>
      <c r="F230" s="146"/>
      <c r="G230" s="146"/>
      <c r="H230" s="146"/>
    </row>
    <row r="231">
      <c r="B231" s="146"/>
      <c r="C231" s="146"/>
      <c r="D231" s="146"/>
      <c r="E231" s="146"/>
      <c r="F231" s="146"/>
      <c r="G231" s="146"/>
      <c r="H231" s="146"/>
    </row>
    <row r="232">
      <c r="B232" s="146"/>
      <c r="C232" s="146"/>
      <c r="D232" s="146"/>
      <c r="E232" s="146"/>
      <c r="F232" s="146"/>
      <c r="G232" s="146"/>
      <c r="H232" s="146"/>
    </row>
    <row r="233">
      <c r="B233" s="146"/>
      <c r="C233" s="146"/>
      <c r="D233" s="146"/>
      <c r="E233" s="146"/>
      <c r="F233" s="146"/>
      <c r="G233" s="146"/>
      <c r="H233" s="146"/>
    </row>
    <row r="234">
      <c r="B234" s="146"/>
      <c r="C234" s="146"/>
      <c r="D234" s="146"/>
      <c r="E234" s="146"/>
      <c r="F234" s="146"/>
      <c r="G234" s="146"/>
      <c r="H234" s="146"/>
    </row>
    <row r="235">
      <c r="B235" s="146"/>
      <c r="C235" s="146"/>
      <c r="D235" s="146"/>
      <c r="E235" s="146"/>
      <c r="F235" s="146"/>
      <c r="G235" s="146"/>
      <c r="H235" s="146"/>
    </row>
    <row r="236">
      <c r="B236" s="146"/>
      <c r="C236" s="146"/>
      <c r="D236" s="146"/>
      <c r="E236" s="146"/>
      <c r="F236" s="146"/>
      <c r="G236" s="146"/>
      <c r="H236" s="146"/>
    </row>
    <row r="237">
      <c r="B237" s="146"/>
      <c r="C237" s="146"/>
      <c r="D237" s="146"/>
      <c r="E237" s="146"/>
      <c r="F237" s="146"/>
      <c r="G237" s="146"/>
      <c r="H237" s="146"/>
    </row>
    <row r="238">
      <c r="B238" s="146"/>
      <c r="C238" s="146"/>
      <c r="D238" s="146"/>
      <c r="E238" s="146"/>
      <c r="F238" s="146"/>
      <c r="G238" s="146"/>
      <c r="H238" s="146"/>
    </row>
    <row r="239">
      <c r="B239" s="146"/>
      <c r="C239" s="146"/>
      <c r="D239" s="146"/>
      <c r="E239" s="146"/>
      <c r="F239" s="146"/>
      <c r="G239" s="146"/>
      <c r="H239" s="146"/>
    </row>
    <row r="240">
      <c r="B240" s="146"/>
      <c r="C240" s="146"/>
      <c r="D240" s="146"/>
      <c r="E240" s="146"/>
      <c r="F240" s="146"/>
      <c r="G240" s="146"/>
      <c r="H240" s="146"/>
    </row>
    <row r="241">
      <c r="B241" s="146"/>
      <c r="C241" s="146"/>
      <c r="D241" s="146"/>
      <c r="E241" s="146"/>
      <c r="F241" s="146"/>
      <c r="G241" s="146"/>
      <c r="H241" s="146"/>
    </row>
    <row r="242">
      <c r="B242" s="146"/>
      <c r="C242" s="146"/>
      <c r="D242" s="146"/>
      <c r="E242" s="146"/>
      <c r="F242" s="146"/>
      <c r="G242" s="146"/>
      <c r="H242" s="146"/>
    </row>
    <row r="243">
      <c r="B243" s="146"/>
      <c r="C243" s="146"/>
      <c r="D243" s="146"/>
      <c r="E243" s="146"/>
      <c r="F243" s="146"/>
      <c r="G243" s="146"/>
      <c r="H243" s="146"/>
    </row>
    <row r="244">
      <c r="B244" s="146"/>
      <c r="C244" s="146"/>
      <c r="D244" s="146"/>
      <c r="E244" s="146"/>
      <c r="F244" s="146"/>
      <c r="G244" s="146"/>
      <c r="H244" s="146"/>
    </row>
    <row r="245">
      <c r="B245" s="146"/>
      <c r="C245" s="146"/>
      <c r="D245" s="146"/>
      <c r="E245" s="146"/>
      <c r="F245" s="146"/>
      <c r="G245" s="146"/>
      <c r="H245" s="146"/>
    </row>
    <row r="246">
      <c r="B246" s="146"/>
      <c r="C246" s="146"/>
      <c r="D246" s="146"/>
      <c r="E246" s="146"/>
      <c r="F246" s="146"/>
      <c r="G246" s="146"/>
      <c r="H246" s="146"/>
    </row>
    <row r="247">
      <c r="B247" s="146"/>
      <c r="C247" s="146"/>
      <c r="D247" s="146"/>
      <c r="E247" s="146"/>
      <c r="F247" s="146"/>
      <c r="G247" s="146"/>
      <c r="H247" s="146"/>
    </row>
    <row r="248">
      <c r="B248" s="146"/>
      <c r="C248" s="146"/>
      <c r="D248" s="146"/>
      <c r="E248" s="146"/>
      <c r="F248" s="146"/>
      <c r="G248" s="146"/>
      <c r="H248" s="146"/>
    </row>
    <row r="249">
      <c r="B249" s="146"/>
      <c r="C249" s="146"/>
      <c r="D249" s="146"/>
      <c r="E249" s="146"/>
      <c r="F249" s="146"/>
      <c r="G249" s="146"/>
      <c r="H249" s="146"/>
    </row>
    <row r="250">
      <c r="B250" s="146"/>
      <c r="C250" s="146"/>
      <c r="D250" s="146"/>
      <c r="E250" s="146"/>
      <c r="F250" s="146"/>
      <c r="G250" s="146"/>
      <c r="H250" s="146"/>
    </row>
  </sheetData>
  <mergeCells count="53">
    <mergeCell ref="B2:E2"/>
    <mergeCell ref="F2:H2"/>
    <mergeCell ref="B3:E3"/>
    <mergeCell ref="F3:H3"/>
    <mergeCell ref="B4:E4"/>
    <mergeCell ref="F4:H4"/>
    <mergeCell ref="F5:H5"/>
    <mergeCell ref="B5:E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F12:H12"/>
    <mergeCell ref="B12:E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F19:H19"/>
    <mergeCell ref="B19:E19"/>
    <mergeCell ref="B20:E20"/>
    <mergeCell ref="F20:H20"/>
    <mergeCell ref="B21:E21"/>
    <mergeCell ref="F21:H21"/>
    <mergeCell ref="B22:E22"/>
    <mergeCell ref="F22:H22"/>
    <mergeCell ref="C33:E33"/>
    <mergeCell ref="C34:D34"/>
    <mergeCell ref="D37:F37"/>
    <mergeCell ref="C40:D40"/>
    <mergeCell ref="B23:E23"/>
    <mergeCell ref="F23:H23"/>
    <mergeCell ref="B24:E24"/>
    <mergeCell ref="F24:H24"/>
    <mergeCell ref="B25:E25"/>
    <mergeCell ref="F25:H25"/>
    <mergeCell ref="C31:F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16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64" t="s">
        <v>248</v>
      </c>
      <c r="Q2" s="27"/>
      <c r="R2" s="27"/>
      <c r="S2" s="28"/>
      <c r="T2" s="23"/>
      <c r="U2" s="23"/>
      <c r="V2" s="23"/>
      <c r="W2" s="23"/>
      <c r="X2" s="23"/>
      <c r="Y2" s="23"/>
      <c r="Z2" s="165"/>
      <c r="AA2" s="165"/>
    </row>
    <row r="3">
      <c r="A3" s="26" t="s">
        <v>28</v>
      </c>
      <c r="B3" s="27"/>
      <c r="C3" s="27"/>
      <c r="D3" s="28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35" t="s">
        <v>249</v>
      </c>
      <c r="Q3" s="34"/>
      <c r="R3" s="35" t="s">
        <v>250</v>
      </c>
      <c r="S3" s="34"/>
      <c r="T3" s="23"/>
      <c r="U3" s="23"/>
      <c r="V3" s="23"/>
      <c r="W3" s="23"/>
      <c r="X3" s="23"/>
      <c r="Y3" s="23"/>
      <c r="Z3" s="165"/>
      <c r="AA3" s="165"/>
    </row>
    <row r="4">
      <c r="A4" s="33" t="s">
        <v>29</v>
      </c>
      <c r="B4" s="34"/>
      <c r="C4" s="34"/>
      <c r="D4" s="35" t="s">
        <v>32</v>
      </c>
      <c r="E4" s="36"/>
      <c r="F4" s="23"/>
      <c r="G4" s="23"/>
      <c r="H4" s="23"/>
      <c r="I4" s="23"/>
      <c r="J4" s="23"/>
      <c r="K4" s="23"/>
      <c r="L4" s="23"/>
      <c r="M4" s="23"/>
      <c r="N4" s="23"/>
      <c r="O4" s="23"/>
      <c r="P4" s="35" t="s">
        <v>251</v>
      </c>
      <c r="Q4" s="34"/>
      <c r="R4" s="35" t="s">
        <v>32</v>
      </c>
      <c r="S4" s="36"/>
      <c r="T4" s="23"/>
      <c r="U4" s="23"/>
      <c r="V4" s="23"/>
      <c r="W4" s="23"/>
      <c r="X4" s="23"/>
      <c r="Y4" s="23"/>
      <c r="Z4" s="165"/>
      <c r="AA4" s="165"/>
    </row>
    <row r="5">
      <c r="A5" s="39" t="s">
        <v>33</v>
      </c>
      <c r="B5" s="27"/>
      <c r="C5" s="28"/>
      <c r="D5" s="152">
        <f>IFERROR(DGET(BDMateriais,'Lista de Materiais'!$C$2,Material.Bancada),"Não há preço na tabela para um material desse nome")</f>
        <v>500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66" t="s">
        <v>33</v>
      </c>
      <c r="Q5" s="27"/>
      <c r="R5" s="28"/>
      <c r="S5" s="152">
        <f>IFERROR(DGET(BDMateriais,'Lista de Materiais'!$C$2,Material.Nicho),"Não há preço na tabela para um material desse nome")</f>
        <v>500</v>
      </c>
      <c r="T5" s="23"/>
      <c r="U5" s="23"/>
      <c r="V5" s="23"/>
      <c r="W5" s="23"/>
      <c r="X5" s="23"/>
      <c r="Y5" s="23"/>
      <c r="Z5" s="165"/>
      <c r="AA5" s="165"/>
    </row>
    <row r="6">
      <c r="A6" s="43">
        <v>1.2</v>
      </c>
      <c r="B6" s="28"/>
      <c r="C6" s="44" t="str">
        <f>IF(D6=TRUE,"111%","100%")</f>
        <v>111%</v>
      </c>
      <c r="D6" s="45" t="b">
        <v>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67">
        <v>1.2</v>
      </c>
      <c r="Q6" s="28"/>
      <c r="R6" s="44" t="str">
        <f>IF(S6=TRUE,"111%","100%")</f>
        <v>111%</v>
      </c>
      <c r="S6" s="45" t="b">
        <v>1</v>
      </c>
      <c r="T6" s="23"/>
      <c r="U6" s="23"/>
      <c r="V6" s="23"/>
      <c r="W6" s="23"/>
      <c r="X6" s="23"/>
      <c r="Y6" s="23"/>
      <c r="Z6" s="165"/>
      <c r="AA6" s="165"/>
    </row>
    <row r="7">
      <c r="A7" s="35" t="s">
        <v>35</v>
      </c>
      <c r="B7" s="46">
        <v>0.0</v>
      </c>
      <c r="C7" s="149"/>
      <c r="D7" s="149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35" t="s">
        <v>252</v>
      </c>
      <c r="Q7" s="34"/>
      <c r="R7" s="34"/>
      <c r="S7" s="35" t="s">
        <v>32</v>
      </c>
      <c r="T7" s="36"/>
      <c r="U7" s="23"/>
      <c r="V7" s="23"/>
      <c r="W7" s="23"/>
      <c r="X7" s="23"/>
      <c r="Y7" s="23"/>
      <c r="Z7" s="165"/>
      <c r="AA7" s="165"/>
    </row>
    <row r="8">
      <c r="A8" s="35" t="s">
        <v>36</v>
      </c>
      <c r="B8" s="168">
        <v>0.0</v>
      </c>
      <c r="C8" s="149"/>
      <c r="D8" s="14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69" t="s">
        <v>253</v>
      </c>
      <c r="Q8" s="168">
        <v>0.0</v>
      </c>
      <c r="R8" s="149"/>
      <c r="S8" s="149"/>
      <c r="T8" s="23"/>
      <c r="U8" s="23"/>
      <c r="V8" s="23"/>
      <c r="W8" s="23"/>
      <c r="X8" s="23"/>
      <c r="Y8" s="23"/>
      <c r="Z8" s="165"/>
      <c r="AA8" s="165"/>
    </row>
    <row r="9">
      <c r="A9" s="35" t="s">
        <v>39</v>
      </c>
      <c r="B9" s="168">
        <v>0.0</v>
      </c>
      <c r="C9" s="149"/>
      <c r="D9" s="149"/>
      <c r="E9" s="23"/>
      <c r="F9" s="23"/>
      <c r="G9" s="23"/>
      <c r="H9" s="23"/>
      <c r="I9" s="23"/>
      <c r="J9" s="23"/>
      <c r="K9" s="164" t="s">
        <v>254</v>
      </c>
      <c r="L9" s="27"/>
      <c r="M9" s="27"/>
      <c r="N9" s="28"/>
      <c r="O9" s="23"/>
      <c r="P9" s="170" t="s">
        <v>255</v>
      </c>
      <c r="Q9" s="171">
        <v>0.0</v>
      </c>
      <c r="R9" s="172"/>
      <c r="S9" s="172"/>
      <c r="T9" s="23"/>
      <c r="U9" s="23"/>
      <c r="V9" s="23"/>
      <c r="W9" s="23"/>
      <c r="X9" s="23"/>
      <c r="Y9" s="23"/>
      <c r="Z9" s="165"/>
      <c r="AA9" s="165"/>
    </row>
    <row r="10">
      <c r="A10" s="35" t="s">
        <v>41</v>
      </c>
      <c r="B10" s="149"/>
      <c r="C10" s="149"/>
      <c r="D10" s="35" t="s">
        <v>32</v>
      </c>
      <c r="E10" s="173"/>
      <c r="F10" s="23"/>
      <c r="G10" s="23"/>
      <c r="H10" s="23"/>
      <c r="I10" s="23"/>
      <c r="J10" s="23"/>
      <c r="K10" s="33" t="s">
        <v>29</v>
      </c>
      <c r="L10" s="149"/>
      <c r="M10" s="149"/>
      <c r="N10" s="35" t="s">
        <v>32</v>
      </c>
      <c r="O10" s="173"/>
      <c r="P10" s="35" t="s">
        <v>256</v>
      </c>
      <c r="Q10" s="46">
        <v>0.0</v>
      </c>
      <c r="R10" s="34"/>
      <c r="S10" s="34"/>
      <c r="T10" s="23"/>
      <c r="U10" s="23"/>
      <c r="V10" s="23"/>
      <c r="W10" s="23"/>
      <c r="X10" s="23"/>
      <c r="Y10" s="23"/>
      <c r="Z10" s="165"/>
      <c r="AA10" s="165"/>
    </row>
    <row r="11">
      <c r="A11" s="35" t="s">
        <v>42</v>
      </c>
      <c r="B11" s="48" t="str">
        <f>IF(E4&gt;1,E4&amp;" Bancadas de "&amp;B4&amp;"x"&amp;C4&amp;"m²",IF(E4=1,"Bancada: "&amp;B4&amp;"x"&amp;C4&amp;"m²"," "))</f>
        <v> </v>
      </c>
      <c r="C11" s="50" t="str">
        <f>IF(C4&gt;0,(B4*C4)*A6*C6*D5*E4," ")</f>
        <v> </v>
      </c>
      <c r="D11" s="23"/>
      <c r="E11" s="23"/>
      <c r="F11" s="23"/>
      <c r="G11" s="23"/>
      <c r="H11" s="23"/>
      <c r="I11" s="23"/>
      <c r="J11" s="23"/>
      <c r="K11" s="166" t="s">
        <v>33</v>
      </c>
      <c r="L11" s="27"/>
      <c r="M11" s="28"/>
      <c r="N11" s="152" t="str">
        <f>IFERROR(DGET(BDMateriais,'Lista de Materiais'!$C$2,Material.Soleira),"Não há preço na tabela para um material desse nome")</f>
        <v>Não há preço na tabela para um material desse nome</v>
      </c>
      <c r="O11" s="23"/>
      <c r="P11" s="35" t="s">
        <v>42</v>
      </c>
      <c r="Q11" s="159" t="str">
        <f>IF(S4&gt;1,S4&amp;" Nichos com 2 peças "&amp;Q3&amp;"x"&amp;S3&amp;"m², 2 peças "&amp;Q4&amp;"x"&amp;S3&amp;"m²",IF(S4=1,"Nicho: 2 peças "&amp;Q3&amp;"x"&amp;S3&amp;"m², 2 peças "&amp;Q4&amp;"x"&amp;S3&amp;"m²"," "))</f>
        <v> </v>
      </c>
      <c r="R11" s="159" t="str">
        <f>IF(Q3&gt;0,(Q3+Q4)*2*S3*P6*R6*S5*S4," ")</f>
        <v> </v>
      </c>
      <c r="S11" s="23"/>
      <c r="T11" s="23"/>
      <c r="U11" s="23"/>
      <c r="V11" s="23"/>
      <c r="W11" s="23"/>
      <c r="X11" s="23"/>
      <c r="Y11" s="23"/>
      <c r="Z11" s="146"/>
      <c r="AA11" s="146"/>
    </row>
    <row r="12">
      <c r="A12" s="23"/>
      <c r="B12" s="48" t="str">
        <f>IF(B7&gt;1," + "&amp;B7&amp;" Saias Lat. de "&amp;C7&amp;"x"&amp;D7&amp;" m²",IF(B7=1," + "&amp;B7&amp;" Saia Lat. "&amp;C7&amp;"x"&amp;D7&amp;" m²",""))</f>
        <v/>
      </c>
      <c r="C12" s="50" t="str">
        <f>IF(D7&gt;0,(C7*D7)*A6*C6*D5*B7," ")</f>
        <v> </v>
      </c>
      <c r="D12" s="23"/>
      <c r="E12" s="23"/>
      <c r="F12" s="23"/>
      <c r="G12" s="23"/>
      <c r="H12" s="23"/>
      <c r="I12" s="23"/>
      <c r="J12" s="23"/>
      <c r="K12" s="153">
        <f>IF(ISNUMBER(N13),1.2,1.1)</f>
        <v>1.1</v>
      </c>
      <c r="L12" s="28"/>
      <c r="M12" s="44" t="str">
        <f>IF(N12=TRUE,"111%","100%")</f>
        <v>111%</v>
      </c>
      <c r="N12" s="45" t="b">
        <v>1</v>
      </c>
      <c r="O12" s="23"/>
      <c r="P12" s="23"/>
      <c r="Q12" s="159" t="str">
        <f>IF(T7&gt;1," + "&amp;T7&amp;" Fundos de "&amp;Q7&amp;"x"&amp;R7&amp;"m²",IF(T7=1," + Fundo de "&amp;Q7&amp;"x"&amp;R7&amp;"m²"," "))</f>
        <v> </v>
      </c>
      <c r="R12" s="159" t="str">
        <f>IF(R7&gt;0,(Q7*R7)*P6*R6*S5*T7," ")</f>
        <v> </v>
      </c>
      <c r="S12" s="23"/>
      <c r="T12" s="23"/>
      <c r="U12" s="164" t="s">
        <v>257</v>
      </c>
      <c r="V12" s="27"/>
      <c r="W12" s="27"/>
      <c r="X12" s="28"/>
      <c r="Y12" s="23"/>
      <c r="Z12" s="146"/>
      <c r="AA12" s="146"/>
    </row>
    <row r="13">
      <c r="A13" s="23"/>
      <c r="B13" s="48" t="str">
        <f>IF(B8&gt;1," + "&amp;B8&amp;" Saias frontais de "&amp;C8&amp;"x"&amp;D8&amp;"m²",IF(B8=1," + "&amp;B8&amp;" Saia frontal "&amp;C8&amp;"x"&amp;D8&amp;"m²",""))</f>
        <v/>
      </c>
      <c r="C13" s="50" t="str">
        <f>IF(D8&gt;0,C8*D8*A6*C6*D5*B8," ")</f>
        <v> </v>
      </c>
      <c r="D13" s="23"/>
      <c r="E13" s="23"/>
      <c r="F13" s="23"/>
      <c r="G13" s="23"/>
      <c r="H13" s="23"/>
      <c r="I13" s="23"/>
      <c r="J13" s="23"/>
      <c r="K13" s="35" t="s">
        <v>258</v>
      </c>
      <c r="L13" s="149"/>
      <c r="M13" s="149"/>
      <c r="N13" s="35" t="s">
        <v>32</v>
      </c>
      <c r="O13" s="173"/>
      <c r="P13" s="23"/>
      <c r="Q13" s="159" t="str">
        <f>IF(Q8&gt;1," + "&amp;Q8&amp;" Alizares lat. de "&amp;R8&amp;"x"&amp;S8&amp;"m²",IF(Q8=1," + "&amp;Q8&amp;" Alizar lat. "&amp;R8&amp;"x"&amp;S8&amp;"m²"," "))</f>
        <v> </v>
      </c>
      <c r="R13" s="159" t="str">
        <f>IF(S8&gt;0,Q8*(R8*S8)*P6*R6*S5," ")</f>
        <v> </v>
      </c>
      <c r="S13" s="23"/>
      <c r="T13" s="23"/>
      <c r="U13" s="33" t="s">
        <v>29</v>
      </c>
      <c r="V13" s="149"/>
      <c r="W13" s="149"/>
      <c r="X13" s="35" t="s">
        <v>32</v>
      </c>
      <c r="Y13" s="173"/>
      <c r="Z13" s="146"/>
      <c r="AA13" s="146"/>
    </row>
    <row r="14">
      <c r="A14" s="23"/>
      <c r="B14" s="48" t="str">
        <f>IF(B9&gt;1," + "&amp;B9&amp;" Frontes lat. de "&amp;C9&amp;"x"&amp;D9&amp;"m²",IF(B9=1," + "&amp;B9&amp;" Front lat. "&amp;C9&amp;"x"&amp;D9&amp;"m²",""))</f>
        <v/>
      </c>
      <c r="C14" s="50" t="str">
        <f>IF(D9&gt;0,B9*C9*D9*A6*C6*D5," ")</f>
        <v> </v>
      </c>
      <c r="D14" s="23"/>
      <c r="E14" s="23"/>
      <c r="F14" s="174" t="s">
        <v>259</v>
      </c>
      <c r="G14" s="27"/>
      <c r="H14" s="27"/>
      <c r="I14" s="28"/>
      <c r="J14" s="23"/>
      <c r="K14" s="35" t="s">
        <v>42</v>
      </c>
      <c r="L14" s="175" t="str">
        <f>IF(O10&gt;1,O10&amp;" Soleiras de "&amp;L10&amp;"x"&amp;M10&amp;"m²",IF(O10=1,"Soleira: "&amp;L10&amp;"x"&amp;M10&amp;"m²"," "))</f>
        <v> </v>
      </c>
      <c r="M14" s="50" t="str">
        <f>IF(M10&gt;0,(L10*M10)*K12*M12*N11*O10," ")</f>
        <v> </v>
      </c>
      <c r="N14" s="23"/>
      <c r="O14" s="23"/>
      <c r="P14" s="23"/>
      <c r="Q14" s="159" t="str">
        <f>IF(Q9&gt;1," + "&amp;Q9&amp;" Alizares sup./inf. de "&amp;R9&amp;"x"&amp;S9&amp;"m²",IF(Q9=1," + "&amp;Q9&amp;" Alizar sup./inf. "&amp;R9&amp;"x"&amp;S9&amp;"m²"," "))</f>
        <v> </v>
      </c>
      <c r="R14" s="159" t="str">
        <f>IF(S9&gt;0,Q9*(R9*S9)*P6*R6*S5," ")</f>
        <v> </v>
      </c>
      <c r="S14" s="23"/>
      <c r="T14" s="23"/>
      <c r="U14" s="166" t="s">
        <v>33</v>
      </c>
      <c r="V14" s="27"/>
      <c r="W14" s="28"/>
      <c r="X14" s="176" t="str">
        <f>IFERROR(DGET(BDMateriais,'Lista de Materiais'!$C$2,Material.Rodapé),"Não há preço na tabela para um material desse nome")</f>
        <v>Não há preço na tabela para um material desse nome</v>
      </c>
      <c r="Y14" s="23"/>
      <c r="Z14" s="146"/>
      <c r="AA14" s="146"/>
    </row>
    <row r="15">
      <c r="A15" s="23"/>
      <c r="B15" s="48" t="str">
        <f>IF(E10&gt;1," + "&amp;E10&amp;" Frontes de "&amp;B10&amp;"x"&amp;C10&amp;"m²",IF(E10=1," + Front de "&amp;B10&amp;"x"&amp;C10&amp;"m²"," "))</f>
        <v> </v>
      </c>
      <c r="C15" s="50" t="str">
        <f>IF(C10&gt;0,B10*C10*A6*C6*D5*E10," ")</f>
        <v> </v>
      </c>
      <c r="D15" s="23"/>
      <c r="E15" s="23"/>
      <c r="F15" s="46" t="s">
        <v>260</v>
      </c>
      <c r="G15" s="169" t="s">
        <v>260</v>
      </c>
      <c r="H15" s="35" t="s">
        <v>32</v>
      </c>
      <c r="I15" s="36"/>
      <c r="J15" s="23"/>
      <c r="K15" s="23"/>
      <c r="L15" s="157" t="str">
        <f>IF(O13&gt;1," + "&amp;O13&amp;" Saias de "&amp;L13&amp;"x"&amp;M13&amp;"m²",IF(O13=1,"+ Saia de "&amp;L13&amp;"x"&amp;M13&amp;"m²"," "))</f>
        <v> </v>
      </c>
      <c r="M15" s="177" t="str">
        <f>IF(M13&gt;0,(L13*M13)*K12*M12*N11*O13," ")</f>
        <v> </v>
      </c>
      <c r="N15" s="23"/>
      <c r="O15" s="23"/>
      <c r="P15" s="23"/>
      <c r="Q15" s="159" t="str">
        <f>IF(Q10&gt;1," + "&amp;Q10&amp;" Prateleiras de "&amp;R10&amp;"x"&amp;S10&amp;"m²",IF(Q10=1," + "&amp;Q10&amp;" Prateleira "&amp;R10&amp;"x"&amp;S10&amp;"m²"," "))</f>
        <v> </v>
      </c>
      <c r="R15" s="159" t="str">
        <f>IF(R10&gt;0,(S10*R10)*P6*R6*S5*Q10," ")</f>
        <v> </v>
      </c>
      <c r="S15" s="23"/>
      <c r="T15" s="23"/>
      <c r="U15" s="153">
        <v>1.1</v>
      </c>
      <c r="V15" s="28"/>
      <c r="W15" s="44" t="str">
        <f>IF(X15=TRUE,"111%","100%")</f>
        <v>111%</v>
      </c>
      <c r="X15" s="45" t="b">
        <v>1</v>
      </c>
      <c r="Y15" s="23"/>
      <c r="Z15" s="146"/>
      <c r="AA15" s="146"/>
    </row>
    <row r="16">
      <c r="A16" s="52" t="str">
        <f>B11&amp;B12&amp;B13&amp;B14&amp;B15</f>
        <v>  </v>
      </c>
      <c r="B16" s="28"/>
      <c r="C16" s="53">
        <f>SUM(C11:C15)</f>
        <v>0</v>
      </c>
      <c r="D16" s="23"/>
      <c r="E16" s="23"/>
      <c r="F16" s="178" t="str">
        <f>IF(I15=1,"Cuba: Tipo "&amp;F15&amp;" "&amp;G15,IF(I15&gt;1,I15&amp;" Cubas: Tipo "&amp;F15&amp;" "&amp;G15,""))</f>
        <v/>
      </c>
      <c r="G16" s="28"/>
      <c r="H16" s="53" t="str">
        <f>IF(F16="Cuba: Tipo 1 Rasa",100,IF(F16="Cuba: Tipo 1 Funda",130,IF(F16="Cuba: Tipo 2 Rasa",130,IF(F16="Cuba: Tipo 2 Funda", 190,IF(F16=I15&amp;" Cubas: Tipo 1 Rasa",100*I15,IF(F16=I15&amp;" Cubas: Tipo 1 Funda",130*I15,IF(F16=I15&amp;" Cubas: Tipo 2 Rasa",I15*130,IF(F16=I15&amp;" Cubas: Tipo 2 Funda",190*I15,""))))))))</f>
        <v/>
      </c>
      <c r="I16" s="23"/>
      <c r="J16" s="23"/>
      <c r="K16" s="179" t="str">
        <f>L14&amp;L15</f>
        <v>  </v>
      </c>
      <c r="L16" s="28"/>
      <c r="M16" s="53">
        <f>SUM(M14:M15)</f>
        <v>0</v>
      </c>
      <c r="N16" s="23"/>
      <c r="O16" s="23"/>
      <c r="P16" s="179" t="str">
        <f>Q11&amp;Q12&amp;Q13&amp;Q14&amp;Q15</f>
        <v>     </v>
      </c>
      <c r="Q16" s="28"/>
      <c r="R16" s="53">
        <f>SUM(R11:R15)</f>
        <v>0</v>
      </c>
      <c r="S16" s="23"/>
      <c r="T16" s="23"/>
      <c r="U16" s="180" t="str">
        <f>IF(Y13&gt;1,Y13&amp;" Rodapés de "&amp;V13&amp;"x"&amp;W13&amp;"m²",IF(Y13=1,"Rodapé: "&amp;V13&amp;"x"&amp;W13&amp;"m²"," "))</f>
        <v> </v>
      </c>
      <c r="V16" s="28"/>
      <c r="W16" s="181" t="str">
        <f>IF(Y13&gt;0,Y13*(V13*W13)*U15*W15*X14," ")</f>
        <v> </v>
      </c>
      <c r="X16" s="23"/>
      <c r="Y16" s="182"/>
      <c r="Z16" s="146"/>
      <c r="AA16" s="146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46"/>
      <c r="AA17" s="146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46"/>
      <c r="AA18" s="146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146"/>
      <c r="AA19" s="146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146"/>
      <c r="AA20" s="146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46"/>
      <c r="AA21" s="146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146"/>
      <c r="AA22" s="146"/>
    </row>
    <row r="23">
      <c r="A23" s="183" t="s">
        <v>261</v>
      </c>
      <c r="B23" s="27"/>
      <c r="C23" s="27"/>
      <c r="D23" s="28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146"/>
      <c r="AA23" s="146"/>
    </row>
    <row r="24">
      <c r="A24" s="33" t="s">
        <v>29</v>
      </c>
      <c r="B24" s="34"/>
      <c r="C24" s="34"/>
      <c r="D24" s="35" t="s">
        <v>32</v>
      </c>
      <c r="E24" s="3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146"/>
      <c r="AA24" s="146"/>
    </row>
    <row r="25">
      <c r="A25" s="166" t="s">
        <v>33</v>
      </c>
      <c r="B25" s="27"/>
      <c r="C25" s="28"/>
      <c r="D25" s="152" t="str">
        <f>IFERROR(DGET(BDMateriais,'Lista de Materiais'!$C$2,Material.Ilharga),"Não há preço na tabela para um material desse nome")</f>
        <v>Não há preço na tabela para um material desse nome</v>
      </c>
      <c r="E25" s="23"/>
      <c r="F25" s="164" t="s">
        <v>262</v>
      </c>
      <c r="G25" s="27"/>
      <c r="H25" s="27"/>
      <c r="I25" s="28"/>
      <c r="J25" s="23"/>
      <c r="K25" s="23"/>
      <c r="L25" s="23"/>
      <c r="M25" s="23"/>
      <c r="N25" s="23"/>
      <c r="O25" s="23"/>
      <c r="P25" s="184" t="s">
        <v>263</v>
      </c>
      <c r="Q25" s="27"/>
      <c r="R25" s="27"/>
      <c r="S25" s="28"/>
      <c r="T25" s="23"/>
      <c r="U25" s="23"/>
      <c r="V25" s="23"/>
      <c r="W25" s="23"/>
      <c r="X25" s="23"/>
      <c r="Y25" s="23"/>
      <c r="Z25" s="146"/>
      <c r="AA25" s="146"/>
    </row>
    <row r="26">
      <c r="A26" s="153">
        <f>IF(B28=TRUE(),1.3,1.2)</f>
        <v>1.2</v>
      </c>
      <c r="B26" s="28"/>
      <c r="C26" s="44" t="str">
        <f>IF(D26=TRUE,"111%","100%")</f>
        <v>111%</v>
      </c>
      <c r="D26" s="45" t="b">
        <v>1</v>
      </c>
      <c r="E26" s="23"/>
      <c r="F26" s="33" t="s">
        <v>29</v>
      </c>
      <c r="G26" s="149"/>
      <c r="H26" s="149"/>
      <c r="I26" s="35" t="s">
        <v>32</v>
      </c>
      <c r="J26" s="173"/>
      <c r="K26" s="23"/>
      <c r="L26" s="23"/>
      <c r="M26" s="23"/>
      <c r="N26" s="23"/>
      <c r="O26" s="23"/>
      <c r="P26" s="35" t="s">
        <v>249</v>
      </c>
      <c r="Q26" s="185"/>
      <c r="R26" s="35" t="s">
        <v>250</v>
      </c>
      <c r="S26" s="185"/>
      <c r="T26" s="23"/>
      <c r="U26" s="23"/>
      <c r="V26" s="23"/>
      <c r="W26" s="23"/>
      <c r="X26" s="23"/>
      <c r="Y26" s="23"/>
      <c r="Z26" s="146"/>
      <c r="AA26" s="146"/>
    </row>
    <row r="27">
      <c r="A27" s="35" t="s">
        <v>258</v>
      </c>
      <c r="B27" s="168">
        <v>0.0</v>
      </c>
      <c r="C27" s="149"/>
      <c r="D27" s="149"/>
      <c r="E27" s="23"/>
      <c r="F27" s="166" t="s">
        <v>33</v>
      </c>
      <c r="G27" s="27"/>
      <c r="H27" s="28"/>
      <c r="I27" s="152" t="str">
        <f>IFERROR(DGET(BDMateriais,'Lista de Materiais'!$C$2,Material.Peitoril),"Não há preço na tabela para um material desse nome")</f>
        <v>Não há preço na tabela para um material desse nome</v>
      </c>
      <c r="J27" s="23"/>
      <c r="K27" s="23"/>
      <c r="L27" s="23"/>
      <c r="M27" s="23"/>
      <c r="N27" s="23"/>
      <c r="O27" s="23"/>
      <c r="P27" s="35" t="s">
        <v>251</v>
      </c>
      <c r="Q27" s="185"/>
      <c r="R27" s="35" t="s">
        <v>32</v>
      </c>
      <c r="S27" s="186"/>
      <c r="T27" s="23"/>
      <c r="U27" s="23"/>
      <c r="V27" s="23"/>
      <c r="W27" s="23"/>
      <c r="X27" s="23"/>
      <c r="Y27" s="23"/>
      <c r="Z27" s="146"/>
      <c r="AA27" s="146"/>
    </row>
    <row r="28">
      <c r="A28" s="35" t="s">
        <v>264</v>
      </c>
      <c r="B28" s="45" t="b">
        <v>0</v>
      </c>
      <c r="C28" s="23"/>
      <c r="D28" s="23"/>
      <c r="E28" s="23"/>
      <c r="F28" s="153">
        <f>IF(H29&gt;0,1.2,1.15)</f>
        <v>1.15</v>
      </c>
      <c r="G28" s="28"/>
      <c r="H28" s="44" t="str">
        <f>IF(I28=TRUE,"111%","100%")</f>
        <v>111%</v>
      </c>
      <c r="I28" s="45" t="b">
        <v>1</v>
      </c>
      <c r="J28" s="23"/>
      <c r="K28" s="164" t="s">
        <v>265</v>
      </c>
      <c r="L28" s="27"/>
      <c r="M28" s="27"/>
      <c r="N28" s="28"/>
      <c r="O28" s="23"/>
      <c r="P28" s="166" t="s">
        <v>33</v>
      </c>
      <c r="Q28" s="27"/>
      <c r="R28" s="28"/>
      <c r="S28" s="176" t="str">
        <f>IFERROR(DGET(BDMateriais,'Lista de Materiais'!$C$2,Material.RequadroJanela),"Não há preço na tabela para um material desse nome")</f>
        <v>Não há preço na tabela para um material desse nome</v>
      </c>
      <c r="T28" s="23"/>
      <c r="U28" s="164" t="s">
        <v>266</v>
      </c>
      <c r="V28" s="27"/>
      <c r="W28" s="27"/>
      <c r="X28" s="28"/>
      <c r="Y28" s="23"/>
      <c r="Z28" s="146"/>
      <c r="AA28" s="146"/>
    </row>
    <row r="29">
      <c r="A29" s="35" t="s">
        <v>267</v>
      </c>
      <c r="B29" s="45" t="b">
        <v>0</v>
      </c>
      <c r="C29" s="23"/>
      <c r="D29" s="23"/>
      <c r="E29" s="23"/>
      <c r="F29" s="35" t="s">
        <v>258</v>
      </c>
      <c r="G29" s="168">
        <v>0.0</v>
      </c>
      <c r="H29" s="149"/>
      <c r="I29" s="149"/>
      <c r="J29" s="23"/>
      <c r="K29" s="33" t="s">
        <v>29</v>
      </c>
      <c r="L29" s="149"/>
      <c r="M29" s="149"/>
      <c r="N29" s="35" t="s">
        <v>32</v>
      </c>
      <c r="O29" s="173"/>
      <c r="P29" s="153">
        <f>IF(R30=TRUE(),1.2,IF(R31=TRUE(),1.2,1.2))</f>
        <v>1.2</v>
      </c>
      <c r="Q29" s="28"/>
      <c r="R29" s="44" t="str">
        <f>IF(S29=TRUE,"111%","100%")</f>
        <v>111%</v>
      </c>
      <c r="S29" s="45" t="b">
        <v>1</v>
      </c>
      <c r="T29" s="23"/>
      <c r="U29" s="33" t="s">
        <v>29</v>
      </c>
      <c r="V29" s="187"/>
      <c r="W29" s="187"/>
      <c r="X29" s="35" t="s">
        <v>32</v>
      </c>
      <c r="Y29" s="173"/>
      <c r="Z29" s="146"/>
      <c r="AA29" s="146"/>
    </row>
    <row r="30">
      <c r="A30" s="35" t="s">
        <v>42</v>
      </c>
      <c r="B30" s="157" t="str">
        <f>IF(E24&gt;1,E24&amp;" Ilhargas de "&amp;B24&amp;"x"&amp;C24&amp;"m²",IF(E24=1,"Ilharga: "&amp;B24&amp;"x"&amp;C24&amp;"m²","")&amp;IF(B29=TRUE()," dupla","")&amp;IF(B28=TRUE()," (2 faces polidas)",""))</f>
        <v/>
      </c>
      <c r="C30" s="49" t="str">
        <f>IF(B29=FALSE(),(B24*C24)*A26*C26*D25*E24,2*(B24*C24)*A26*C26*D25*E24)</f>
        <v>#VALUE!</v>
      </c>
      <c r="D30" s="23"/>
      <c r="E30" s="23"/>
      <c r="F30" s="35" t="s">
        <v>42</v>
      </c>
      <c r="G30" s="157" t="str">
        <f>IF(J26&gt;1,J26&amp;" Peitoris de "&amp;G26&amp;"x"&amp;H26&amp;"m²",IF(J26=1,"Peitoril: "&amp;G26&amp;"x"&amp;H26&amp;"m²"," "))</f>
        <v> </v>
      </c>
      <c r="H30" s="50" t="str">
        <f>IF(H26&gt;0,(G26*H26)*F28*H28*I27*J26," ")</f>
        <v> </v>
      </c>
      <c r="I30" s="23"/>
      <c r="J30" s="23"/>
      <c r="K30" s="166" t="s">
        <v>33</v>
      </c>
      <c r="L30" s="27"/>
      <c r="M30" s="28"/>
      <c r="N30" s="176" t="str">
        <f>IFERROR(DGET(BDMateriais,'Lista de Materiais'!$C$2,Material.Chapim),"Não há preço na tabela para um material desse nome")</f>
        <v>Não há preço na tabela para um material desse nome</v>
      </c>
      <c r="O30" s="23"/>
      <c r="P30" s="188" t="s">
        <v>268</v>
      </c>
      <c r="Q30" s="28"/>
      <c r="R30" s="189" t="b">
        <v>0</v>
      </c>
      <c r="S30" s="23"/>
      <c r="T30" s="23"/>
      <c r="U30" s="166" t="s">
        <v>33</v>
      </c>
      <c r="V30" s="27"/>
      <c r="W30" s="28"/>
      <c r="X30" s="176" t="str">
        <f>IFERROR(DGET(BDMateriais,'Lista de Materiais'!$C$2,Material.Piso),"Não há preço na tabela para um material desse nome")</f>
        <v>Não há preço na tabela para um material desse nome</v>
      </c>
      <c r="Y30" s="23"/>
      <c r="Z30" s="146"/>
      <c r="AA30" s="146"/>
    </row>
    <row r="31">
      <c r="A31" s="158"/>
      <c r="B31" s="159" t="str">
        <f>IF(B27&gt;1," + "&amp;B27&amp;" Saias de "&amp;C27&amp;"x"&amp;D27&amp;"m²",IF(B27=1," + "&amp;B27&amp;" Saia "&amp;C27&amp;"x"&amp;D27&amp;"m²"," "))</f>
        <v> </v>
      </c>
      <c r="C31" s="177" t="str">
        <f>IF(D27&gt;0,B27*(C27*D27)*A26*C26*D25," ")</f>
        <v> </v>
      </c>
      <c r="D31" s="23"/>
      <c r="E31" s="23"/>
      <c r="F31" s="23"/>
      <c r="G31" s="159" t="str">
        <f>IF(G29&gt;1," + "&amp;G29&amp;" Saias de "&amp;H29&amp;"x"&amp;I29&amp;"m²",IF(G29=1," + "&amp;G29&amp;" Saia de "&amp;H29&amp;"x"&amp;I29&amp;"m²"," "))</f>
        <v> </v>
      </c>
      <c r="H31" s="177" t="str">
        <f>IF(I29&gt;0,G29*(H29*I29)*F28*H28*I27," ")</f>
        <v> </v>
      </c>
      <c r="I31" s="23"/>
      <c r="J31" s="23"/>
      <c r="K31" s="153">
        <v>1.1</v>
      </c>
      <c r="L31" s="28"/>
      <c r="M31" s="44" t="str">
        <f>IF(N31=TRUE,"111%","100%")</f>
        <v>111%</v>
      </c>
      <c r="N31" s="45" t="b">
        <v>1</v>
      </c>
      <c r="O31" s="23"/>
      <c r="P31" s="188" t="s">
        <v>269</v>
      </c>
      <c r="Q31" s="28"/>
      <c r="R31" s="189" t="b">
        <v>0</v>
      </c>
      <c r="S31" s="23"/>
      <c r="T31" s="23"/>
      <c r="U31" s="153">
        <v>1.1</v>
      </c>
      <c r="V31" s="28"/>
      <c r="W31" s="44" t="str">
        <f>IF(X31=TRUE,"111%","100%")</f>
        <v>111%</v>
      </c>
      <c r="X31" s="45" t="b">
        <v>1</v>
      </c>
      <c r="Y31" s="23"/>
      <c r="Z31" s="146"/>
      <c r="AA31" s="146"/>
    </row>
    <row r="32">
      <c r="A32" s="161" t="str">
        <f>B30&amp;B31</f>
        <v> </v>
      </c>
      <c r="B32" s="28"/>
      <c r="C32" s="190" t="str">
        <f>SUM(C30:C31)</f>
        <v>#VALUE!</v>
      </c>
      <c r="D32" s="23"/>
      <c r="E32" s="23"/>
      <c r="F32" s="179" t="str">
        <f>G30&amp;G31</f>
        <v>  </v>
      </c>
      <c r="G32" s="28"/>
      <c r="H32" s="53">
        <f>SUM(H30:H31)</f>
        <v>0</v>
      </c>
      <c r="I32" s="23"/>
      <c r="J32" s="23"/>
      <c r="K32" s="180" t="str">
        <f>IF(O29&gt;1,O29&amp;" Chapins de "&amp;L29&amp;"x"&amp;M29&amp;"m²",IF(O29=1,"Chapim: "&amp;L29&amp;"x"&amp;M29&amp;"m²"," "))</f>
        <v> </v>
      </c>
      <c r="L32" s="28"/>
      <c r="M32" s="181" t="str">
        <f>IF(M29&gt;0,(L29*M29)*K31*M31*N30*O29," ")</f>
        <v> </v>
      </c>
      <c r="N32" s="23"/>
      <c r="O32" s="23"/>
      <c r="P32" s="178" t="str">
        <f>IF(R30=TRUE(),"Requadro de Janela na lateral ("&amp;S27&amp;"x) de "&amp;Q26&amp;"x"&amp;S26&amp;"m² ",IF(R31=TRUE(),"Requadro de Janela peitoril  ("&amp;S27&amp;"x) de "&amp;Q27&amp;"x"&amp;S26&amp;"m² ",IF(R32&gt;0,"("&amp;S27&amp;"x) "&amp;"Requadro Janela: 2 peças "&amp;Q26&amp;"x"&amp;S26&amp;"m², 2 peças "&amp;Q27&amp;"x"&amp;S26&amp;"m²","")))</f>
        <v>#VALUE!</v>
      </c>
      <c r="Q32" s="28"/>
      <c r="R32" s="191" t="str">
        <f>IF(R30=TRUE(),Q26*S26*S27*P29*R29*S28,IF(R31=TRUE(),Q27*S26*S27*P29*R29*S28,(Q26+Q27)*2*S26*P29*R29*S28*S27))</f>
        <v>#VALUE!</v>
      </c>
      <c r="S32" s="23"/>
      <c r="T32" s="23"/>
      <c r="U32" s="180" t="str">
        <f>IF(Y29&gt;1,Y29&amp;" Peças de Piso de "&amp;V29&amp;"x"&amp;W29&amp;"m²",IF(Y29=1,"Piso: "&amp;V29&amp;"x"&amp;W29&amp;"m²"," "))</f>
        <v> </v>
      </c>
      <c r="V32" s="28"/>
      <c r="W32" s="181" t="str">
        <f>IF(Y29&gt;0,Y29*(V29*W29)*U31*W31*X30," ")</f>
        <v> </v>
      </c>
      <c r="X32" s="23"/>
      <c r="Y32" s="23"/>
      <c r="Z32" s="146"/>
      <c r="AA32" s="146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164" t="s">
        <v>270</v>
      </c>
      <c r="V33" s="27"/>
      <c r="W33" s="27"/>
      <c r="X33" s="28"/>
      <c r="Y33" s="23"/>
      <c r="Z33" s="146"/>
      <c r="AA33" s="146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33" t="s">
        <v>29</v>
      </c>
      <c r="V34" s="149"/>
      <c r="W34" s="149"/>
      <c r="X34" s="35" t="s">
        <v>32</v>
      </c>
      <c r="Y34" s="173"/>
      <c r="Z34" s="146"/>
      <c r="AA34" s="146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164" t="s">
        <v>271</v>
      </c>
      <c r="Q35" s="27"/>
      <c r="R35" s="27"/>
      <c r="S35" s="28"/>
      <c r="T35" s="23"/>
      <c r="U35" s="166" t="s">
        <v>33</v>
      </c>
      <c r="V35" s="27"/>
      <c r="W35" s="28"/>
      <c r="X35" s="152" t="str">
        <f>IFERROR(DGET(BDMateriais,'Lista de Materiais'!$C$2,Material.Escada),"Não há preço na tabela para um material desse nome")</f>
        <v>Não há preço na tabela para um material desse nome</v>
      </c>
      <c r="Y35" s="23"/>
      <c r="Z35" s="146"/>
      <c r="AA35" s="146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33" t="s">
        <v>29</v>
      </c>
      <c r="Q36" s="149"/>
      <c r="R36" s="149"/>
      <c r="S36" s="35" t="s">
        <v>32</v>
      </c>
      <c r="T36" s="173"/>
      <c r="U36" s="153">
        <f>IF(ISNUMBER(X37),1.2,1.2)</f>
        <v>1.2</v>
      </c>
      <c r="V36" s="28"/>
      <c r="W36" s="44" t="str">
        <f>IF(X36=TRUE,"111%","100%")</f>
        <v>111%</v>
      </c>
      <c r="X36" s="45" t="b">
        <v>1</v>
      </c>
      <c r="Y36" s="23"/>
      <c r="Z36" s="146"/>
      <c r="AA36" s="146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66" t="s">
        <v>33</v>
      </c>
      <c r="Q37" s="27"/>
      <c r="R37" s="28"/>
      <c r="S37" s="152">
        <f>IFERROR(DGET(BDMateriais,'Lista de Materiais'!$C$2,Material.Mesa),"Não há preço na tabela para um material desse nome")</f>
        <v>500</v>
      </c>
      <c r="T37" s="23"/>
      <c r="U37" s="35" t="s">
        <v>258</v>
      </c>
      <c r="V37" s="149"/>
      <c r="W37" s="149"/>
      <c r="X37" s="35" t="s">
        <v>32</v>
      </c>
      <c r="Y37" s="173"/>
      <c r="Z37" s="146"/>
      <c r="AA37" s="146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92" t="s">
        <v>272</v>
      </c>
      <c r="Q38" s="193">
        <f>IF(Q42=TRUE(),1.5,1.2)</f>
        <v>1.2</v>
      </c>
      <c r="R38" s="44" t="str">
        <f>IF(S38=TRUE,"111%","100%")</f>
        <v>111%</v>
      </c>
      <c r="S38" s="45" t="b">
        <v>1</v>
      </c>
      <c r="T38" s="23"/>
      <c r="U38" s="35" t="s">
        <v>273</v>
      </c>
      <c r="V38" s="149"/>
      <c r="W38" s="149"/>
      <c r="X38" s="35" t="s">
        <v>32</v>
      </c>
      <c r="Y38" s="173"/>
      <c r="Z38" s="146"/>
      <c r="AA38" s="146"/>
    </row>
    <row r="39">
      <c r="A39" s="164" t="s">
        <v>274</v>
      </c>
      <c r="B39" s="27"/>
      <c r="C39" s="27"/>
      <c r="D39" s="28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92" t="s">
        <v>245</v>
      </c>
      <c r="Q39" s="193">
        <f>Ifs(Q43="Comum",1.2,Q43="Encaixado",1.2,Q43="Caixinha",1.3)</f>
        <v>1.2</v>
      </c>
      <c r="R39" s="23"/>
      <c r="S39" s="23"/>
      <c r="T39" s="23"/>
      <c r="U39" s="194" t="s">
        <v>275</v>
      </c>
      <c r="V39" s="28"/>
      <c r="W39" s="149"/>
      <c r="X39" s="149"/>
      <c r="Y39" s="23"/>
      <c r="Z39" s="146"/>
      <c r="AA39" s="146"/>
    </row>
    <row r="40">
      <c r="A40" s="35" t="s">
        <v>276</v>
      </c>
      <c r="B40" s="149"/>
      <c r="C40" s="35" t="s">
        <v>250</v>
      </c>
      <c r="D40" s="149"/>
      <c r="E40" s="23"/>
      <c r="F40" s="23"/>
      <c r="G40" s="23"/>
      <c r="H40" s="23"/>
      <c r="I40" s="23"/>
      <c r="J40" s="23"/>
      <c r="K40" s="164" t="s">
        <v>277</v>
      </c>
      <c r="L40" s="27"/>
      <c r="M40" s="27"/>
      <c r="N40" s="28"/>
      <c r="O40" s="23"/>
      <c r="P40" s="35" t="s">
        <v>35</v>
      </c>
      <c r="Q40" s="46">
        <v>0.0</v>
      </c>
      <c r="R40" s="149"/>
      <c r="S40" s="149"/>
      <c r="T40" s="23"/>
      <c r="U40" s="194" t="s">
        <v>278</v>
      </c>
      <c r="V40" s="28"/>
      <c r="W40" s="149"/>
      <c r="X40" s="149"/>
      <c r="Y40" s="23"/>
      <c r="Z40" s="146"/>
      <c r="AA40" s="146"/>
    </row>
    <row r="41">
      <c r="A41" s="35" t="s">
        <v>251</v>
      </c>
      <c r="B41" s="149"/>
      <c r="C41" s="35" t="s">
        <v>32</v>
      </c>
      <c r="D41" s="173"/>
      <c r="E41" s="23"/>
      <c r="F41" s="23"/>
      <c r="G41" s="23"/>
      <c r="H41" s="23"/>
      <c r="I41" s="23"/>
      <c r="J41" s="23"/>
      <c r="K41" s="35" t="s">
        <v>249</v>
      </c>
      <c r="L41" s="185"/>
      <c r="M41" s="35" t="s">
        <v>250</v>
      </c>
      <c r="N41" s="185"/>
      <c r="O41" s="23"/>
      <c r="P41" s="35" t="s">
        <v>36</v>
      </c>
      <c r="Q41" s="168">
        <v>0.0</v>
      </c>
      <c r="R41" s="149"/>
      <c r="S41" s="149"/>
      <c r="T41" s="23"/>
      <c r="U41" s="194" t="s">
        <v>279</v>
      </c>
      <c r="V41" s="28"/>
      <c r="W41" s="149"/>
      <c r="X41" s="149"/>
      <c r="Y41" s="23"/>
      <c r="Z41" s="146"/>
      <c r="AA41" s="146"/>
    </row>
    <row r="42">
      <c r="A42" s="166" t="s">
        <v>33</v>
      </c>
      <c r="B42" s="27"/>
      <c r="C42" s="28"/>
      <c r="D42" s="152" t="str">
        <f>IFERROR(DGET(BDMateriais,'Lista de Materiais'!$C$2,Material.CubaEsculpida),"Não há preço na tabela para um material desse nome")</f>
        <v>Não há preço na tabela para um material desse nome</v>
      </c>
      <c r="E42" s="23"/>
      <c r="F42" s="23"/>
      <c r="G42" s="23"/>
      <c r="H42" s="23"/>
      <c r="I42" s="23"/>
      <c r="J42" s="23"/>
      <c r="K42" s="35" t="s">
        <v>251</v>
      </c>
      <c r="L42" s="185"/>
      <c r="M42" s="35" t="s">
        <v>32</v>
      </c>
      <c r="N42" s="186"/>
      <c r="O42" s="23"/>
      <c r="P42" s="169" t="s">
        <v>247</v>
      </c>
      <c r="Q42" s="189" t="b">
        <v>0</v>
      </c>
      <c r="R42" s="23"/>
      <c r="S42" s="23"/>
      <c r="T42" s="23"/>
      <c r="U42" s="35" t="s">
        <v>42</v>
      </c>
      <c r="V42" s="175" t="str">
        <f>IF(Y34&gt;1,Y34&amp;" Degraus de "&amp;V34&amp;"x"&amp;W34&amp;"m²",IF(Y34=1,"Degrau "&amp;V34&amp;"x"&amp;W34&amp;"m²"," "))</f>
        <v> </v>
      </c>
      <c r="W42" s="159" t="str">
        <f>IF(Y34&gt;0,Y34*(V34*W34)*U36*W36*X35," ")</f>
        <v> </v>
      </c>
      <c r="X42" s="23"/>
      <c r="Y42" s="23"/>
      <c r="Z42" s="146"/>
      <c r="AA42" s="146"/>
    </row>
    <row r="43">
      <c r="A43" s="195" t="s">
        <v>280</v>
      </c>
      <c r="B43" s="27"/>
      <c r="C43" s="28"/>
      <c r="D43" s="196">
        <v>1000.0</v>
      </c>
      <c r="E43" s="23"/>
      <c r="F43" s="23"/>
      <c r="G43" s="23"/>
      <c r="H43" s="23"/>
      <c r="I43" s="23"/>
      <c r="J43" s="23"/>
      <c r="K43" s="166" t="s">
        <v>33</v>
      </c>
      <c r="L43" s="27"/>
      <c r="M43" s="28"/>
      <c r="N43" s="176" t="str">
        <f>IFERROR(DGET(BDMateriais,'Lista de Materiais'!$C$2,Material.RequadroPorta),"Não há preço na tabela para um material desse nome")</f>
        <v>Não há preço na tabela para um material desse nome</v>
      </c>
      <c r="O43" s="23"/>
      <c r="P43" s="197" t="s">
        <v>246</v>
      </c>
      <c r="Q43" s="198" t="s">
        <v>281</v>
      </c>
      <c r="R43" s="149"/>
      <c r="S43" s="149"/>
      <c r="T43" s="23"/>
      <c r="U43" s="23"/>
      <c r="V43" s="159" t="str">
        <f>IF(Y37&gt;1," + "&amp;Y37&amp;" Saias de "&amp;V37&amp;"x"&amp;W37&amp;"m²",IF(Y37=1," + "&amp;Y37&amp;" Saia "&amp;V37&amp;"x"&amp;W37&amp;"m²"," "))</f>
        <v> </v>
      </c>
      <c r="W43" s="177" t="str">
        <f>IF(W37&gt;0,(V37*W37)*U36*W36*X35*Y37," ")</f>
        <v> </v>
      </c>
      <c r="X43" s="23"/>
      <c r="Y43" s="23"/>
      <c r="Z43" s="146"/>
      <c r="AA43" s="146"/>
    </row>
    <row r="44">
      <c r="A44" s="167">
        <v>1.2</v>
      </c>
      <c r="B44" s="28"/>
      <c r="C44" s="44" t="str">
        <f>IF(D44=TRUE,"111%","100%")</f>
        <v>111%</v>
      </c>
      <c r="D44" s="45" t="b">
        <v>1</v>
      </c>
      <c r="E44" s="23"/>
      <c r="F44" s="164" t="s">
        <v>282</v>
      </c>
      <c r="G44" s="27"/>
      <c r="H44" s="27"/>
      <c r="I44" s="28"/>
      <c r="J44" s="23"/>
      <c r="K44" s="153">
        <f>IF(M45=TRUE(),1.2,IF(M46=TRUE(),1.2,1.2))</f>
        <v>1.2</v>
      </c>
      <c r="L44" s="28"/>
      <c r="M44" s="44" t="str">
        <f>IF(N44=TRUE,"111%","100%")</f>
        <v>111%</v>
      </c>
      <c r="N44" s="45" t="b">
        <v>1</v>
      </c>
      <c r="O44" s="23"/>
      <c r="P44" s="35" t="s">
        <v>42</v>
      </c>
      <c r="Q44" s="175" t="str">
        <f>IF(T36&gt;1,T36&amp;" Mesas com Tampo de "&amp;Q36&amp;"x"&amp;R36&amp;"m²",IF(T36=1,"Mesa: Tampo de "&amp;Q36&amp;"x"&amp;R36&amp;"m²"," "))&amp;IF(Q42=TRUE()," c/ Sarim","")</f>
        <v> </v>
      </c>
      <c r="R44" s="50" t="str">
        <f>IF(R36&gt;0,(Q36*R36)*Q38*R38*S37*T36," ")</f>
        <v> </v>
      </c>
      <c r="S44" s="23"/>
      <c r="T44" s="23"/>
      <c r="U44" s="23"/>
      <c r="V44" s="159" t="str">
        <f>IF(Y38&gt;1," + "&amp;Y38&amp;" Espelhos de "&amp;V38&amp;"x"&amp;W38&amp;"m²",IF(Y38=1," + "&amp;Y38&amp;" Espelho "&amp;V38&amp;"x"&amp;W38&amp;"m²"," "))</f>
        <v> </v>
      </c>
      <c r="W44" s="177" t="str">
        <f>IF(W38&gt;0,(V38*W38)*U36*W36*X35*Y38," ")</f>
        <v> </v>
      </c>
      <c r="X44" s="23"/>
      <c r="Y44" s="23"/>
      <c r="AA44" s="146"/>
    </row>
    <row r="45">
      <c r="A45" s="35" t="s">
        <v>283</v>
      </c>
      <c r="B45" s="149"/>
      <c r="C45" s="149"/>
      <c r="D45" s="35" t="s">
        <v>32</v>
      </c>
      <c r="E45" s="173"/>
      <c r="F45" s="33" t="s">
        <v>284</v>
      </c>
      <c r="G45" s="34"/>
      <c r="H45" s="34"/>
      <c r="I45" s="35" t="s">
        <v>32</v>
      </c>
      <c r="J45" s="186"/>
      <c r="K45" s="188" t="s">
        <v>285</v>
      </c>
      <c r="L45" s="28"/>
      <c r="M45" s="189" t="b">
        <v>0</v>
      </c>
      <c r="N45" s="23"/>
      <c r="O45" s="23"/>
      <c r="P45" s="23"/>
      <c r="Q45" s="48" t="str">
        <f>IF(Q40&gt;1," + "&amp;Q40&amp;" Saias Lat. de "&amp;R40&amp;"x"&amp;S40&amp;" m²",IF(Q40=1," + "&amp;Q40&amp;" Saia Lat. "&amp;R40&amp;"x"&amp;S40&amp;" m²",""))</f>
        <v/>
      </c>
      <c r="R45" s="50" t="str">
        <f>IF(S40&gt;0,(R40*S40)*Q38*R38*S37*Q40," ")</f>
        <v> </v>
      </c>
      <c r="S45" s="23"/>
      <c r="T45" s="23"/>
      <c r="U45" s="23"/>
      <c r="V45" s="159" t="str">
        <f>IF(X39&gt;0," + Degrau(s) Esp. "&amp;W39&amp;"x"&amp;X39&amp;"m²"," ")</f>
        <v> </v>
      </c>
      <c r="W45" s="177" t="str">
        <f>IF(X39&gt;0,(W39*X39)*U36*W36*X35," ")</f>
        <v> </v>
      </c>
      <c r="X45" s="23"/>
      <c r="Y45" s="23"/>
      <c r="AA45" s="146"/>
    </row>
    <row r="46">
      <c r="A46" s="35" t="s">
        <v>42</v>
      </c>
      <c r="B46" s="159" t="str">
        <f>IF(D41&gt;1,D41&amp;" Cubas Esculpidas de 2 peças "&amp;B40&amp;"x"&amp;D40&amp;"m², 2 peças "&amp;B41&amp;"x"&amp;D40&amp;"m² c/ fundo de "&amp;B40&amp;"x"&amp;B41&amp;"m²",IF(D41=1,"Cuba Esculpida: 2 peças "&amp;B40&amp;"x"&amp;D40&amp;"m², 2 peças "&amp;B41&amp;"x"&amp;D40&amp;"m² c/ fundo de "&amp;B40&amp;"x"&amp;B41&amp;"m²",""))</f>
        <v/>
      </c>
      <c r="C46" s="159" t="str">
        <f>IF(B40&gt;0,2*(B40+B41)*D40*D42*A44*C44*D41," ")</f>
        <v> </v>
      </c>
      <c r="D46" s="23"/>
      <c r="E46" s="23"/>
      <c r="F46" s="166" t="s">
        <v>33</v>
      </c>
      <c r="G46" s="27"/>
      <c r="H46" s="28"/>
      <c r="I46" s="176" t="str">
        <f>IFERROR(DGET(BDMateriais,'Lista de Materiais'!$C$2,Material.TentoDoBox),"Não há preço na tabela para um material desse nome")</f>
        <v>Não há preço na tabela para um material desse nome</v>
      </c>
      <c r="J46" s="23"/>
      <c r="K46" s="188" t="s">
        <v>286</v>
      </c>
      <c r="L46" s="28"/>
      <c r="M46" s="189" t="b">
        <v>0</v>
      </c>
      <c r="N46" s="23"/>
      <c r="O46" s="23"/>
      <c r="P46" s="23"/>
      <c r="Q46" s="48" t="str">
        <f>IF(Q41&gt;1," + "&amp;Q41&amp;" Saias frontais de "&amp;R41&amp;"x"&amp;S41&amp;"m²",IF(Q41=1," + "&amp;Q41&amp;" Saia frontal "&amp;R41&amp;"x"&amp;S41&amp;"m²",""))</f>
        <v/>
      </c>
      <c r="R46" s="50" t="str">
        <f>IF(S41&gt;0,(R41*S41)*Q38*R38*S37*Q41," ")</f>
        <v> </v>
      </c>
      <c r="S46" s="23"/>
      <c r="T46" s="23"/>
      <c r="U46" s="23"/>
      <c r="V46" s="159" t="str">
        <f>IF(X40&gt;0," + Saia(s) Esp. "&amp;W40&amp;"x"&amp;X40&amp;"m²"," ")</f>
        <v> </v>
      </c>
      <c r="W46" s="177" t="str">
        <f>IF(X40&gt;0,(W40*X40)*U36*W36*X35," ")</f>
        <v> </v>
      </c>
      <c r="X46" s="23"/>
      <c r="Y46" s="23"/>
      <c r="Z46" s="146"/>
      <c r="AA46" s="146"/>
    </row>
    <row r="47">
      <c r="A47" s="158"/>
      <c r="B47" s="159" t="str">
        <f>IF(E45&gt;1," + "&amp;E45&amp;" Fundos Falsos de "&amp;B45&amp;"x"&amp;C45&amp;"m²",IF(E45=1," + Fundo Falso de "&amp;B45&amp;"x"&amp;C45&amp;"m²",""))</f>
        <v/>
      </c>
      <c r="C47" s="159" t="str">
        <f>IF(C45&gt;0,B45*C45*A44*C44*D42*E45," ")</f>
        <v> </v>
      </c>
      <c r="D47" s="199" t="s">
        <v>287</v>
      </c>
      <c r="E47" s="23"/>
      <c r="F47" s="153">
        <v>1.2</v>
      </c>
      <c r="G47" s="28"/>
      <c r="H47" s="44" t="str">
        <f>IF(I47=TRUE,"111%","100%")</f>
        <v>111%</v>
      </c>
      <c r="I47" s="45" t="b">
        <v>1</v>
      </c>
      <c r="J47" s="23"/>
      <c r="K47" s="188" t="s">
        <v>288</v>
      </c>
      <c r="L47" s="28"/>
      <c r="M47" s="189" t="b">
        <v>0</v>
      </c>
      <c r="N47" s="23"/>
      <c r="O47" s="23"/>
      <c r="P47" s="23"/>
      <c r="Q47" s="159" t="str">
        <f>IF(S43&gt;0," + Pé "&amp;Q43&amp;" c/ total de "&amp;R43&amp;"x"&amp;S43&amp;"m²","")</f>
        <v/>
      </c>
      <c r="R47" s="177" t="str">
        <f>IF(S43&gt;0,(R43*S43)*Q39*R38*S37," ")</f>
        <v> </v>
      </c>
      <c r="S47" s="23"/>
      <c r="T47" s="23"/>
      <c r="U47" s="23"/>
      <c r="V47" s="159" t="str">
        <f>IF(X41&gt;0," + Espelho(s) esp. "&amp;W41&amp;"x"&amp;X41&amp;"m²"," ")</f>
        <v> </v>
      </c>
      <c r="W47" s="177" t="str">
        <f>IF(X41&gt;0,(W41*X41)*U36*W36*X35," ")</f>
        <v> </v>
      </c>
      <c r="X47" s="23"/>
      <c r="Y47" s="23"/>
      <c r="Z47" s="146"/>
      <c r="AA47" s="146"/>
    </row>
    <row r="48">
      <c r="A48" s="161" t="str">
        <f>B46&amp;B47&amp;IF(C48&gt;0,"+ Mão de Obra","")</f>
        <v/>
      </c>
      <c r="B48" s="28"/>
      <c r="C48" s="53">
        <f>SUM(C46:C47)+IF(ISNUMBER(C46),D41*1000,0)</f>
        <v>0</v>
      </c>
      <c r="D48" s="23"/>
      <c r="E48" s="23"/>
      <c r="F48" s="180" t="str">
        <f>IF(J45&gt;1,J45&amp;" Tentos de Box de 2x "&amp;G45&amp;"x"&amp;H45&amp;"m²",IF(J45=1,"Tento do Box: 2x "&amp;G45&amp;"x"&amp;H45&amp;"m²"," "))</f>
        <v> </v>
      </c>
      <c r="G48" s="28"/>
      <c r="H48" s="181" t="str">
        <f>IF(H45&gt;0,(G45*H45)*2*F47*H47*I46*J45," ")</f>
        <v> </v>
      </c>
      <c r="I48" s="23"/>
      <c r="J48" s="23"/>
      <c r="K48" s="178" t="str">
        <f>IF(M48&gt;0, N42&amp;"x "&amp;"Requadro de Porta: ","")&amp;IF(M45=TRUE(),"laterais de "&amp;L41&amp;"x"&amp;N41&amp;"m², ","")&amp;IF(M46=TRUE(),"piso de "&amp;L42&amp;"x"&amp;N41&amp;"m², ","")&amp;IF(M47=TRUE(),"teto de requadro de "&amp;L42&amp;"x"&amp;N41&amp;"m²","")</f>
        <v/>
      </c>
      <c r="L48" s="28"/>
      <c r="M48" s="190">
        <f>IF(M45=TRUE(),2*L41*N41*N42*K44*M44*N43,0)+IF(M46=TRUE(),L42*N41*N42*K44*M44*N43,0)+IF(M47=TRUE(),L42*N41*N42*K44*M44*N43,0)</f>
        <v>0</v>
      </c>
      <c r="N48" s="23"/>
      <c r="O48" s="23"/>
      <c r="P48" s="179" t="str">
        <f>Q44&amp;Q47</f>
        <v> </v>
      </c>
      <c r="Q48" s="28"/>
      <c r="R48" s="53">
        <f>SUM(R44:R47)</f>
        <v>0</v>
      </c>
      <c r="S48" s="23"/>
      <c r="T48" s="23"/>
      <c r="U48" s="179" t="str">
        <f>V42&amp;V43&amp;V44&amp;V45&amp;V46&amp;V47</f>
        <v>      </v>
      </c>
      <c r="V48" s="28"/>
      <c r="W48" s="53">
        <f>SUM(W42:W47)</f>
        <v>0</v>
      </c>
      <c r="X48" s="23"/>
      <c r="Y48" s="23"/>
      <c r="Z48" s="146"/>
      <c r="AA48" s="146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146"/>
      <c r="AA49" s="146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146"/>
      <c r="AA50" s="146"/>
    </row>
    <row r="51">
      <c r="A51" s="23"/>
      <c r="B51" s="23"/>
      <c r="C51" s="23"/>
      <c r="D51" s="23"/>
      <c r="E51" s="23"/>
      <c r="F51" s="164" t="s">
        <v>289</v>
      </c>
      <c r="G51" s="27"/>
      <c r="H51" s="27"/>
      <c r="I51" s="28"/>
      <c r="J51" s="23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146"/>
      <c r="AA51" s="146"/>
    </row>
    <row r="52">
      <c r="A52" s="23"/>
      <c r="B52" s="23"/>
      <c r="C52" s="23"/>
      <c r="D52" s="23"/>
      <c r="E52" s="23"/>
      <c r="F52" s="33" t="s">
        <v>29</v>
      </c>
      <c r="G52" s="149"/>
      <c r="H52" s="149"/>
      <c r="I52" s="35" t="s">
        <v>32</v>
      </c>
      <c r="J52" s="173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146"/>
      <c r="AA52" s="146"/>
    </row>
    <row r="53">
      <c r="A53" s="23"/>
      <c r="B53" s="23"/>
      <c r="C53" s="23"/>
      <c r="D53" s="23"/>
      <c r="E53" s="23"/>
      <c r="F53" s="166" t="s">
        <v>33</v>
      </c>
      <c r="G53" s="27"/>
      <c r="H53" s="28"/>
      <c r="I53" s="152">
        <f>IFERROR(DGET(BDMateriais,'Lista de Materiais'!$C$2,Material.BalcãoSeco),"Não há preço na tabela para um material desse nome")</f>
        <v>500</v>
      </c>
      <c r="J53" s="23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146"/>
      <c r="AA53" s="146"/>
    </row>
    <row r="54">
      <c r="A54" s="23"/>
      <c r="B54" s="23"/>
      <c r="C54" s="23"/>
      <c r="D54" s="23"/>
      <c r="E54" s="23"/>
      <c r="F54" s="167">
        <v>1.2</v>
      </c>
      <c r="G54" s="28"/>
      <c r="H54" s="44" t="str">
        <f>IF(I54=TRUE,"111%","100%")</f>
        <v>111%</v>
      </c>
      <c r="I54" s="45" t="b">
        <v>1</v>
      </c>
      <c r="J54" s="23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146"/>
      <c r="AA54" s="146"/>
    </row>
    <row r="55">
      <c r="A55" s="23"/>
      <c r="B55" s="23"/>
      <c r="C55" s="23"/>
      <c r="D55" s="23"/>
      <c r="E55" s="23"/>
      <c r="F55" s="35" t="s">
        <v>35</v>
      </c>
      <c r="G55" s="168">
        <v>0.0</v>
      </c>
      <c r="H55" s="149"/>
      <c r="I55" s="149"/>
      <c r="J55" s="23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184" t="s">
        <v>290</v>
      </c>
      <c r="V55" s="27"/>
      <c r="W55" s="27"/>
      <c r="X55" s="28"/>
      <c r="Y55" s="23"/>
      <c r="Z55" s="146"/>
      <c r="AA55" s="146"/>
    </row>
    <row r="56">
      <c r="A56" s="23"/>
      <c r="B56" s="23"/>
      <c r="C56" s="23"/>
      <c r="D56" s="23"/>
      <c r="E56" s="23"/>
      <c r="F56" s="35" t="s">
        <v>36</v>
      </c>
      <c r="G56" s="168">
        <v>0.0</v>
      </c>
      <c r="H56" s="149"/>
      <c r="I56" s="149"/>
      <c r="J56" s="23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33" t="s">
        <v>29</v>
      </c>
      <c r="V56" s="187"/>
      <c r="W56" s="187"/>
      <c r="X56" s="35" t="s">
        <v>32</v>
      </c>
      <c r="Y56" s="173"/>
      <c r="Z56" s="146"/>
      <c r="AA56" s="146"/>
    </row>
    <row r="57">
      <c r="A57" s="164" t="s">
        <v>291</v>
      </c>
      <c r="B57" s="27"/>
      <c r="C57" s="27"/>
      <c r="D57" s="28"/>
      <c r="E57" s="23"/>
      <c r="F57" s="35" t="s">
        <v>39</v>
      </c>
      <c r="G57" s="168">
        <v>0.0</v>
      </c>
      <c r="H57" s="149"/>
      <c r="I57" s="149"/>
      <c r="J57" s="23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166" t="s">
        <v>33</v>
      </c>
      <c r="V57" s="27"/>
      <c r="W57" s="28"/>
      <c r="X57" s="176" t="str">
        <f>IFERROR(DGET(BDMateriais,'Lista de Materiais'!$C$2,Material.ForraçãoBanheira),"Não há preço na tabela para um material desse nome")</f>
        <v>Não há preço na tabela para um material desse nome</v>
      </c>
      <c r="Y57" s="23"/>
      <c r="Z57" s="146"/>
      <c r="AA57" s="146"/>
    </row>
    <row r="58">
      <c r="A58" s="33" t="s">
        <v>29</v>
      </c>
      <c r="B58" s="149"/>
      <c r="C58" s="149"/>
      <c r="D58" s="35" t="s">
        <v>32</v>
      </c>
      <c r="E58" s="173"/>
      <c r="F58" s="35" t="s">
        <v>41</v>
      </c>
      <c r="G58" s="149"/>
      <c r="H58" s="149"/>
      <c r="I58" s="35" t="s">
        <v>32</v>
      </c>
      <c r="J58" s="173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153">
        <f>IF(OR(V59&gt;0,V60&gt;0),1.2,1.15)</f>
        <v>1.15</v>
      </c>
      <c r="V58" s="28"/>
      <c r="W58" s="44" t="str">
        <f>IF(X58=TRUE,"111%","100%")</f>
        <v>111%</v>
      </c>
      <c r="X58" s="45" t="b">
        <v>1</v>
      </c>
      <c r="Y58" s="23"/>
      <c r="Z58" s="146"/>
      <c r="AA58" s="146"/>
    </row>
    <row r="59">
      <c r="A59" s="166" t="s">
        <v>33</v>
      </c>
      <c r="B59" s="27"/>
      <c r="C59" s="28"/>
      <c r="D59" s="152" t="str">
        <f>IFERROR(DGET(BDMateriais,'Lista de Materiais'!$C$2,Material.Filete),"Não há preço na tabela para um material desse nome")</f>
        <v>Não há preço na tabela para um material desse nome</v>
      </c>
      <c r="E59" s="23"/>
      <c r="F59" s="35" t="s">
        <v>42</v>
      </c>
      <c r="G59" s="48" t="str">
        <f>IF(J52&gt;1,J52&amp;" Balcões secos de "&amp;G52&amp;"x"&amp;H52&amp;"m²",IF(J52=1,"Balcão seco: "&amp;G52&amp;"x"&amp;H52&amp;"m²"," "))</f>
        <v> </v>
      </c>
      <c r="H59" s="50" t="str">
        <f>IF(H52&gt;0,(G52*H52)*F54*H54*I53*J52," ")</f>
        <v> </v>
      </c>
      <c r="I59" s="23"/>
      <c r="J59" s="23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169" t="s">
        <v>292</v>
      </c>
      <c r="V59" s="46">
        <v>0.0</v>
      </c>
      <c r="W59" s="149"/>
      <c r="X59" s="149"/>
      <c r="Y59" s="23"/>
      <c r="Z59" s="146"/>
      <c r="AA59" s="146"/>
    </row>
    <row r="60">
      <c r="A60" s="153">
        <f>IF(ISNUMBER(D61),1.2,1.1)</f>
        <v>1.1</v>
      </c>
      <c r="B60" s="28"/>
      <c r="C60" s="44" t="str">
        <f>IF(D60=TRUE,"111%","100%")</f>
        <v>111%</v>
      </c>
      <c r="D60" s="45" t="b">
        <v>1</v>
      </c>
      <c r="E60" s="23"/>
      <c r="F60" s="23"/>
      <c r="G60" s="48" t="str">
        <f>IF(G55&gt;1," + "&amp;G55&amp;" Saias Lat. de "&amp;H55&amp;"x"&amp;I55&amp;" m²",IF(G55=1," + "&amp;G55&amp;" Saia Lat. "&amp;H55&amp;"x"&amp;I55&amp;" m²",""))</f>
        <v/>
      </c>
      <c r="H60" s="50" t="str">
        <f>IF(I55&gt;0,(H55*I55)*F54*H54*I53*G55," ")</f>
        <v> </v>
      </c>
      <c r="I60" s="23"/>
      <c r="J60" s="23"/>
      <c r="K60" s="62" t="s">
        <v>293</v>
      </c>
      <c r="L60" s="27"/>
      <c r="M60" s="27"/>
      <c r="N60" s="28"/>
      <c r="O60" s="200"/>
      <c r="P60" s="184" t="s">
        <v>294</v>
      </c>
      <c r="Q60" s="27"/>
      <c r="R60" s="27"/>
      <c r="S60" s="28"/>
      <c r="T60" s="23"/>
      <c r="U60" s="169" t="s">
        <v>295</v>
      </c>
      <c r="V60" s="46">
        <v>0.0</v>
      </c>
      <c r="W60" s="149"/>
      <c r="X60" s="149"/>
      <c r="Y60" s="23"/>
      <c r="Z60" s="146"/>
      <c r="AA60" s="146"/>
    </row>
    <row r="61">
      <c r="A61" s="35" t="s">
        <v>258</v>
      </c>
      <c r="B61" s="149"/>
      <c r="C61" s="149"/>
      <c r="D61" s="35" t="s">
        <v>32</v>
      </c>
      <c r="E61" s="173"/>
      <c r="F61" s="23"/>
      <c r="G61" s="48" t="str">
        <f>IF(G56&gt;1," + "&amp;G56&amp;" Saias frontais de "&amp;H56&amp;"x"&amp;I56&amp;"m²",IF(G56=1," + "&amp;G56&amp;" Saia frontal "&amp;H56&amp;"x"&amp;I56&amp;"m²",""))</f>
        <v/>
      </c>
      <c r="H61" s="50" t="str">
        <f>IF(I56&gt;0,H56*I56*F54*H54*I53*G56," ")</f>
        <v> </v>
      </c>
      <c r="I61" s="23"/>
      <c r="J61" s="23"/>
      <c r="K61" s="201" t="s">
        <v>29</v>
      </c>
      <c r="L61" s="202"/>
      <c r="M61" s="203"/>
      <c r="N61" s="204" t="s">
        <v>32</v>
      </c>
      <c r="O61" s="205"/>
      <c r="P61" s="33" t="s">
        <v>29</v>
      </c>
      <c r="Q61" s="187"/>
      <c r="R61" s="187"/>
      <c r="S61" s="35" t="s">
        <v>32</v>
      </c>
      <c r="T61" s="173"/>
      <c r="U61" s="35" t="s">
        <v>42</v>
      </c>
      <c r="V61" s="175" t="str">
        <f>IF(Y56=1,"Forração superior de banheira "&amp;V56&amp;"x"&amp;W56&amp;"m² ",IF(Y56&gt;1,Y56&amp;" Forrações superiores de banheira de "&amp;V56&amp;"x"&amp;W56&amp;"m² ",""))</f>
        <v/>
      </c>
      <c r="W61" s="159" t="str">
        <f>IF(Y56&gt;0,V56*W56*Y56*X57*U58*W58,"")</f>
        <v/>
      </c>
      <c r="X61" s="23"/>
      <c r="Y61" s="23"/>
      <c r="Z61" s="146"/>
      <c r="AA61" s="146"/>
    </row>
    <row r="62">
      <c r="A62" s="35" t="s">
        <v>42</v>
      </c>
      <c r="B62" s="157" t="str">
        <f>IF(E58&gt;1,E58&amp;" Filetes de "&amp;B58&amp;"x"&amp;C58&amp;"m²",IF(E58=1,"Filete: "&amp;B58&amp;"x"&amp;C58&amp;"m²"," "))</f>
        <v> </v>
      </c>
      <c r="C62" s="50" t="str">
        <f>IF(C58&gt;0,(B58*C58)*A60*C60*D59*E58," ")</f>
        <v> </v>
      </c>
      <c r="D62" s="23"/>
      <c r="E62" s="23"/>
      <c r="F62" s="23"/>
      <c r="G62" s="48" t="str">
        <f>IF(G57&gt;1," + "&amp;G57&amp;" Frontes lat. de "&amp;H57&amp;"x"&amp;I57&amp;"m²",IF(G57=1," + "&amp;G57&amp;" Front lat. "&amp;H57&amp;"x"&amp;I57&amp;"m²",""))</f>
        <v/>
      </c>
      <c r="H62" s="50" t="str">
        <f>IF(I57&gt;0,G57*H57*I57*F54*H54*I53," ")</f>
        <v> </v>
      </c>
      <c r="I62" s="23"/>
      <c r="J62" s="23"/>
      <c r="K62" s="206" t="s">
        <v>33</v>
      </c>
      <c r="L62" s="27"/>
      <c r="M62" s="28"/>
      <c r="N62" s="207" t="str">
        <f>IFERROR(DGET(BDMateriais,'Lista de Materiais'!$C$2,Material.Soco),"Não há preço na tabela para um material desse nome")</f>
        <v>Não há preço na tabela para um material desse nome</v>
      </c>
      <c r="O62" s="200"/>
      <c r="P62" s="166" t="s">
        <v>33</v>
      </c>
      <c r="Q62" s="27"/>
      <c r="R62" s="28"/>
      <c r="S62" s="176" t="str">
        <f>IFERROR(DGET(BDMateriais,'Lista de Materiais'!$C$2,Material.Forração),"Não há preço na tabela para um material desse nome")</f>
        <v>Não há preço na tabela para um material desse nome</v>
      </c>
      <c r="T62" s="23"/>
      <c r="U62" s="23"/>
      <c r="V62" s="175" t="str">
        <f>IF(V59=1,"+ Peça lateral de "&amp;W59&amp;"x"&amp;X59&amp;"m²",IF(V59&gt;1,"+ "&amp;V59&amp;" Peças laterais de "&amp;W59&amp;"x"&amp;X59&amp;"m²",""))</f>
        <v/>
      </c>
      <c r="W62" s="159" t="str">
        <f>IF(V59&gt;0,W59*X59*V59*X57*U58*W58,"")</f>
        <v/>
      </c>
      <c r="X62" s="23"/>
      <c r="Y62" s="23"/>
      <c r="Z62" s="146"/>
      <c r="AA62" s="146"/>
    </row>
    <row r="63">
      <c r="A63" s="158"/>
      <c r="B63" s="157" t="str">
        <f>IF(E61&gt;1," + "&amp;E61&amp;" Saias de "&amp;B61&amp;"x"&amp;C61&amp;"m²",IF(E61=1,"+ Saia de "&amp;B61&amp;"x"&amp;C61&amp;"m²"," "))</f>
        <v> </v>
      </c>
      <c r="C63" s="177" t="str">
        <f>IF(C61&gt;0,(B61*C61)*A60*C60*D59*E61," ")</f>
        <v> </v>
      </c>
      <c r="D63" s="23"/>
      <c r="E63" s="23"/>
      <c r="F63" s="23"/>
      <c r="G63" s="48" t="str">
        <f>IF(J58&gt;1," + "&amp;J58&amp;" Frontes de "&amp;G58&amp;"x"&amp;H58&amp;"m²",IF(J58=1," + Front de "&amp;G58&amp;"x"&amp;H58&amp;"m²"," "))</f>
        <v> </v>
      </c>
      <c r="H63" s="50" t="str">
        <f>IF(H58&gt;0,G58*H58*F54*H54*I53*J58," ")</f>
        <v> </v>
      </c>
      <c r="I63" s="23"/>
      <c r="J63" s="23"/>
      <c r="K63" s="208">
        <v>1.1</v>
      </c>
      <c r="L63" s="28"/>
      <c r="M63" s="44" t="str">
        <f>IF(N63=TRUE,"111%","100%")</f>
        <v>111%</v>
      </c>
      <c r="N63" s="45" t="b">
        <v>1</v>
      </c>
      <c r="O63" s="200"/>
      <c r="P63" s="153">
        <v>1.1</v>
      </c>
      <c r="Q63" s="28"/>
      <c r="R63" s="44" t="str">
        <f>IF(S63=TRUE,"111%","100%")</f>
        <v>111%</v>
      </c>
      <c r="S63" s="45" t="b">
        <v>1</v>
      </c>
      <c r="T63" s="23"/>
      <c r="U63" s="23"/>
      <c r="V63" s="175" t="str">
        <f>IF(V60=1,"+ Peça frontal de "&amp;W60&amp;"x"&amp;X60&amp;"m²",IF(V60&gt;1,"+ "&amp;V60&amp;" Peças frontais de "&amp;W60&amp;"x"&amp;X60&amp;"m²",""))</f>
        <v/>
      </c>
      <c r="W63" s="159" t="str">
        <f>IF(V60&gt;0,W60*X60*V60*X57*U58*W58,"")</f>
        <v/>
      </c>
      <c r="X63" s="23"/>
      <c r="Y63" s="23"/>
      <c r="Z63" s="146"/>
      <c r="AA63" s="146"/>
    </row>
    <row r="64">
      <c r="A64" s="161" t="str">
        <f>B62&amp;B63</f>
        <v>  </v>
      </c>
      <c r="B64" s="28"/>
      <c r="C64" s="53">
        <f>SUM(C62:C63)</f>
        <v>0</v>
      </c>
      <c r="D64" s="23"/>
      <c r="E64" s="23"/>
      <c r="F64" s="179" t="str">
        <f>G59&amp;G60&amp;G61&amp;G62&amp;G63</f>
        <v>  </v>
      </c>
      <c r="G64" s="28"/>
      <c r="H64" s="53">
        <f>SUM(H59:H63)</f>
        <v>0</v>
      </c>
      <c r="I64" s="23"/>
      <c r="J64" s="23"/>
      <c r="K64" s="180" t="str">
        <f>IF(O61&gt;1,O61&amp;" Socos de "&amp;L61&amp;"x"&amp;M61&amp;"m²",IF(O61=1,"Soco: "&amp;L61&amp;"x"&amp;M61&amp;"m²"," "))</f>
        <v> </v>
      </c>
      <c r="L64" s="28"/>
      <c r="M64" s="209" t="str">
        <f>IF(O61&gt;0,O61*L61*M61*K63*M63*N62," ")</f>
        <v> </v>
      </c>
      <c r="N64" s="200"/>
      <c r="O64" s="210"/>
      <c r="P64" s="180" t="str">
        <f>IF(T61&gt;1,T61&amp;" Peças de Forração de "&amp;Q61&amp;"x"&amp;R61&amp;"m²",IF(T61=1,"Forração: "&amp;Q61&amp;"x"&amp;R61&amp;"m²"," "))</f>
        <v> </v>
      </c>
      <c r="Q64" s="28"/>
      <c r="R64" s="181" t="str">
        <f>IF(T61&gt;0,T61*(Q61*R61)*P63*R63*S62," ")</f>
        <v> </v>
      </c>
      <c r="S64" s="23"/>
      <c r="T64" s="23"/>
      <c r="U64" s="180" t="str">
        <f>V61&amp;V62&amp;V63</f>
        <v/>
      </c>
      <c r="V64" s="28"/>
      <c r="W64" s="53">
        <f>SUM(W61:W63)</f>
        <v>0</v>
      </c>
      <c r="X64" s="23"/>
      <c r="Y64" s="23"/>
      <c r="Z64" s="146"/>
      <c r="AA64" s="146"/>
    </row>
    <row r="65">
      <c r="U65" s="200"/>
      <c r="V65" s="200"/>
      <c r="W65" s="200"/>
      <c r="X65" s="200"/>
      <c r="Y65" s="200"/>
    </row>
    <row r="66">
      <c r="A66" s="211" t="s">
        <v>296</v>
      </c>
      <c r="B66" s="212">
        <f>IF(AjudaMDO=TRUE(),1,0)</f>
        <v>0</v>
      </c>
      <c r="C66" s="146"/>
      <c r="D66" s="146"/>
      <c r="E66" s="213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200"/>
      <c r="V66" s="200"/>
      <c r="W66" s="200"/>
      <c r="X66" s="200"/>
      <c r="Y66" s="200"/>
      <c r="Z66" s="146"/>
      <c r="AA66" s="146"/>
    </row>
    <row r="67">
      <c r="A67" s="146"/>
      <c r="B67" s="146"/>
      <c r="C67" s="146"/>
      <c r="D67" s="146"/>
      <c r="E67" s="146"/>
      <c r="F67" s="146"/>
      <c r="G67" s="214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200"/>
      <c r="V67" s="200"/>
      <c r="W67" s="200"/>
      <c r="X67" s="200"/>
      <c r="Y67" s="200"/>
      <c r="Z67" s="146"/>
      <c r="AA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200"/>
      <c r="V68" s="200"/>
      <c r="W68" s="200"/>
      <c r="X68" s="200"/>
      <c r="Y68" s="200"/>
      <c r="Z68" s="146"/>
      <c r="AA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200"/>
      <c r="V69" s="200"/>
      <c r="W69" s="200"/>
      <c r="X69" s="200"/>
      <c r="Y69" s="200"/>
      <c r="Z69" s="146"/>
      <c r="AA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200"/>
      <c r="V70" s="200"/>
      <c r="W70" s="200"/>
      <c r="X70" s="200"/>
      <c r="Y70" s="200"/>
      <c r="Z70" s="146"/>
      <c r="AA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84" t="s">
        <v>297</v>
      </c>
      <c r="V71" s="27"/>
      <c r="W71" s="27"/>
      <c r="X71" s="28"/>
      <c r="Y71" s="200"/>
      <c r="Z71" s="146"/>
      <c r="AA71" s="146"/>
    </row>
    <row r="72">
      <c r="A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66" t="s">
        <v>33</v>
      </c>
      <c r="V72" s="27"/>
      <c r="W72" s="28"/>
      <c r="X72" s="176" t="str">
        <f>IFERROR(DGET(BDMateriais,'Lista de Materiais'!$C$2,Material.Alizar),"Não há preço na tabela para um material desse nome")</f>
        <v>Não há preço na tabela para um material desse nome</v>
      </c>
      <c r="Y72" s="200"/>
      <c r="Z72" s="146"/>
      <c r="AA72" s="146"/>
    </row>
    <row r="73">
      <c r="A73" s="146"/>
      <c r="B73" s="147" t="s">
        <v>244</v>
      </c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67">
        <v>1.2</v>
      </c>
      <c r="V73" s="28"/>
      <c r="W73" s="44" t="str">
        <f>IF(X73=TRUE,"111%","100%")</f>
        <v>111%</v>
      </c>
      <c r="X73" s="45" t="b">
        <v>1</v>
      </c>
      <c r="Y73" s="23"/>
      <c r="Z73" s="146"/>
      <c r="AA73" s="146"/>
    </row>
    <row r="74">
      <c r="A74" s="146"/>
      <c r="B74" s="148" t="s">
        <v>29</v>
      </c>
      <c r="C74" s="149"/>
      <c r="D74" s="149"/>
      <c r="E74" s="150" t="s">
        <v>32</v>
      </c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69" t="s">
        <v>298</v>
      </c>
      <c r="V74" s="46">
        <v>0.0</v>
      </c>
      <c r="W74" s="149"/>
      <c r="X74" s="149"/>
      <c r="Y74" s="23"/>
      <c r="Z74" s="146"/>
      <c r="AA74" s="146"/>
    </row>
    <row r="75">
      <c r="A75" s="146"/>
      <c r="B75" s="151" t="s">
        <v>33</v>
      </c>
      <c r="C75" s="27"/>
      <c r="D75" s="28"/>
      <c r="E75" s="152">
        <f>IFERROR(DGET(BDMateriais,'Lista de Materiais'!$C$2,Material.Mesa),"Não há preço na tabela para um material desse nome")</f>
        <v>500</v>
      </c>
      <c r="F75" s="146"/>
      <c r="G75" s="50" t="s">
        <v>245</v>
      </c>
      <c r="H75" s="193">
        <f>Ifs(H77="Comum",1.2,H77="Encaixado",1.2,H77="Caixinha",1.2)</f>
        <v>1.2</v>
      </c>
      <c r="I75" s="158"/>
      <c r="J75" s="158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69" t="s">
        <v>292</v>
      </c>
      <c r="V75" s="46">
        <v>0.0</v>
      </c>
      <c r="W75" s="149"/>
      <c r="X75" s="149"/>
      <c r="Y75" s="23"/>
      <c r="Z75" s="146"/>
      <c r="AA75" s="146"/>
    </row>
    <row r="76">
      <c r="A76" s="146"/>
      <c r="B76" s="153">
        <f>IFS(E79=TRUE(),1.5,C79=TRUE(),1.2,D74&gt;-1,1.2)</f>
        <v>1.2</v>
      </c>
      <c r="C76" s="28"/>
      <c r="D76" s="44" t="str">
        <f>IF(E76=TRUE,"111%","100%")</f>
        <v>111%</v>
      </c>
      <c r="E76" s="45" t="b">
        <v>1</v>
      </c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69" t="s">
        <v>299</v>
      </c>
      <c r="V76" s="46">
        <v>0.0</v>
      </c>
      <c r="W76" s="149"/>
      <c r="X76" s="149"/>
      <c r="Y76" s="23"/>
      <c r="Z76" s="146"/>
      <c r="AA76" s="146"/>
    </row>
    <row r="77">
      <c r="A77" s="146"/>
      <c r="B77" s="150" t="s">
        <v>35</v>
      </c>
      <c r="C77" s="154">
        <v>0.0</v>
      </c>
      <c r="D77" s="149"/>
      <c r="E77" s="149"/>
      <c r="F77" s="146"/>
      <c r="G77" s="155" t="s">
        <v>246</v>
      </c>
      <c r="H77" s="215" t="s">
        <v>281</v>
      </c>
      <c r="I77" s="149"/>
      <c r="J77" s="149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35" t="s">
        <v>42</v>
      </c>
      <c r="V77" s="175" t="str">
        <f>IF(V74=1," peça de "&amp;W74&amp;"x"&amp;X74&amp;"m², ",IF(V74&gt;1,"("&amp;V74&amp;"x) peças de "&amp;W74&amp;"x"&amp;X74&amp;"m², ",""))</f>
        <v/>
      </c>
      <c r="W77" s="159" t="str">
        <f>IF(V74&gt;0,W74*X74*V74*X72*U73*W73,"")</f>
        <v/>
      </c>
      <c r="X77" s="23"/>
      <c r="Y77" s="23"/>
      <c r="Z77" s="146"/>
      <c r="AA77" s="146"/>
    </row>
    <row r="78">
      <c r="A78" s="146"/>
      <c r="B78" s="150" t="s">
        <v>36</v>
      </c>
      <c r="C78" s="154">
        <v>0.0</v>
      </c>
      <c r="D78" s="149"/>
      <c r="E78" s="149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23"/>
      <c r="V78" s="175" t="str">
        <f>IF(V75=1," peça lateral de "&amp;W75&amp;"x"&amp;X75&amp;"m², ",IF(V75&gt;1,"("&amp;V75&amp;"x) peças laterais de "&amp;W75&amp;"x"&amp;X75&amp;"m², ",""))</f>
        <v/>
      </c>
      <c r="W78" s="159" t="str">
        <f>IF(V75&gt;0,W75*X75*V75*X72*U73*W73,"")</f>
        <v/>
      </c>
      <c r="X78" s="23"/>
      <c r="Y78" s="23"/>
      <c r="Z78" s="146"/>
      <c r="AA78" s="146"/>
    </row>
    <row r="79">
      <c r="A79" s="146"/>
      <c r="B79" s="150" t="s">
        <v>247</v>
      </c>
      <c r="C79" s="156" t="b">
        <v>0</v>
      </c>
      <c r="D79" s="27"/>
      <c r="E79" s="28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23"/>
      <c r="V79" s="175" t="str">
        <f>IF(V76=1," peça superior de "&amp;W76&amp;"x"&amp;X76&amp;"m²",IF(V76&gt;1,"("&amp;V76&amp;"x) peças superiores de "&amp;W76&amp;"x"&amp;X76&amp;"m²",""))</f>
        <v/>
      </c>
      <c r="W79" s="159" t="str">
        <f>IF(V76&gt;0,W76*X76*V76*X72*U73*W73,"")</f>
        <v/>
      </c>
      <c r="X79" s="23"/>
      <c r="Y79" s="23"/>
      <c r="Z79" s="146"/>
      <c r="AA79" s="146"/>
    </row>
    <row r="80">
      <c r="A80" s="146"/>
      <c r="B80" s="150" t="s">
        <v>42</v>
      </c>
      <c r="C80" s="157" t="str">
        <f>IF(F73&gt;1,F73&amp;" Mesas com Tampo de "&amp;C74&amp;"x"&amp;D74&amp;"m²",IF(F73=1,"Mesa: Tampo de "&amp;C74&amp;"x"&amp;D74&amp;"m²"," "))&amp;IF(E79=TRUE()," c/ Sarim","")&amp;IF(C79=TRUE()," c/ Saia","")</f>
        <v> </v>
      </c>
      <c r="D80" s="50" t="str">
        <f>IF(D74&gt;0,(C74*D74)*C76*D76*E75*F73," ")</f>
        <v> </v>
      </c>
      <c r="E80" s="23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80" t="str">
        <f>IF(W80&gt;0,"Alizar:","")&amp;V77&amp;V78&amp;V79</f>
        <v/>
      </c>
      <c r="V80" s="28"/>
      <c r="W80" s="53">
        <f>SUM(W77:W79)</f>
        <v>0</v>
      </c>
      <c r="X80" s="23"/>
      <c r="Y80" s="23"/>
      <c r="Z80" s="146"/>
      <c r="AA80" s="146"/>
    </row>
    <row r="81">
      <c r="A81" s="146"/>
      <c r="B81" s="158"/>
      <c r="C81" s="159" t="str">
        <f>IF(J77&gt;0," + Pé "&amp;H77&amp;" c/ total de "&amp;I77&amp;"x"&amp;J77&amp;"m²","")</f>
        <v/>
      </c>
      <c r="D81" s="160" t="str">
        <f>IF(J77&gt;0,(I77*J77)*H75*D76*E75," ")</f>
        <v> </v>
      </c>
      <c r="E81" s="23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>
      <c r="A82" s="146"/>
      <c r="B82" s="161" t="str">
        <f>D80&amp;D81</f>
        <v>  </v>
      </c>
      <c r="C82" s="28"/>
      <c r="D82" s="162">
        <f>SUM(D80:D81)</f>
        <v>0</v>
      </c>
      <c r="E82" s="23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>
      <c r="A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</row>
  </sheetData>
  <mergeCells count="95">
    <mergeCell ref="P30:Q30"/>
    <mergeCell ref="U30:W30"/>
    <mergeCell ref="K31:L31"/>
    <mergeCell ref="U31:V31"/>
    <mergeCell ref="A32:B32"/>
    <mergeCell ref="F32:G32"/>
    <mergeCell ref="K32:L32"/>
    <mergeCell ref="U32:V32"/>
    <mergeCell ref="P31:Q31"/>
    <mergeCell ref="P32:Q32"/>
    <mergeCell ref="U33:X33"/>
    <mergeCell ref="P35:S35"/>
    <mergeCell ref="U35:W35"/>
    <mergeCell ref="P37:R37"/>
    <mergeCell ref="A39:D39"/>
    <mergeCell ref="K47:L47"/>
    <mergeCell ref="K48:L48"/>
    <mergeCell ref="P48:Q48"/>
    <mergeCell ref="U48:V48"/>
    <mergeCell ref="K44:L44"/>
    <mergeCell ref="K45:L45"/>
    <mergeCell ref="F46:H46"/>
    <mergeCell ref="K46:L46"/>
    <mergeCell ref="F47:G47"/>
    <mergeCell ref="A48:B48"/>
    <mergeCell ref="F48:G48"/>
    <mergeCell ref="F51:I51"/>
    <mergeCell ref="F53:H53"/>
    <mergeCell ref="F54:G54"/>
    <mergeCell ref="U55:X55"/>
    <mergeCell ref="A57:D57"/>
    <mergeCell ref="U57:W57"/>
    <mergeCell ref="U58:V58"/>
    <mergeCell ref="A60:B60"/>
    <mergeCell ref="A64:B64"/>
    <mergeCell ref="B73:E73"/>
    <mergeCell ref="B75:D75"/>
    <mergeCell ref="B76:C76"/>
    <mergeCell ref="C79:E79"/>
    <mergeCell ref="B82:C82"/>
    <mergeCell ref="K63:L63"/>
    <mergeCell ref="K64:L64"/>
    <mergeCell ref="P64:Q64"/>
    <mergeCell ref="U64:V64"/>
    <mergeCell ref="U71:X71"/>
    <mergeCell ref="U72:W72"/>
    <mergeCell ref="U73:V73"/>
    <mergeCell ref="U80:V80"/>
    <mergeCell ref="A59:C59"/>
    <mergeCell ref="K60:N60"/>
    <mergeCell ref="P60:S60"/>
    <mergeCell ref="K62:M62"/>
    <mergeCell ref="P62:R62"/>
    <mergeCell ref="P63:Q63"/>
    <mergeCell ref="F64:G64"/>
    <mergeCell ref="P2:S2"/>
    <mergeCell ref="A3:D3"/>
    <mergeCell ref="A5:C5"/>
    <mergeCell ref="P5:R5"/>
    <mergeCell ref="A6:B6"/>
    <mergeCell ref="P6:Q6"/>
    <mergeCell ref="K9:N9"/>
    <mergeCell ref="U15:V15"/>
    <mergeCell ref="U16:V16"/>
    <mergeCell ref="K11:M11"/>
    <mergeCell ref="K12:L12"/>
    <mergeCell ref="U12:X12"/>
    <mergeCell ref="F14:I14"/>
    <mergeCell ref="U14:W14"/>
    <mergeCell ref="A16:B16"/>
    <mergeCell ref="P16:Q16"/>
    <mergeCell ref="F16:G16"/>
    <mergeCell ref="K16:L16"/>
    <mergeCell ref="A23:D23"/>
    <mergeCell ref="A25:C25"/>
    <mergeCell ref="F25:I25"/>
    <mergeCell ref="P25:S25"/>
    <mergeCell ref="A26:B26"/>
    <mergeCell ref="F27:H27"/>
    <mergeCell ref="F28:G28"/>
    <mergeCell ref="K28:N28"/>
    <mergeCell ref="P28:R28"/>
    <mergeCell ref="U28:X28"/>
    <mergeCell ref="P29:Q29"/>
    <mergeCell ref="K30:M30"/>
    <mergeCell ref="U36:V36"/>
    <mergeCell ref="U39:V39"/>
    <mergeCell ref="U41:V41"/>
    <mergeCell ref="K40:N40"/>
    <mergeCell ref="U40:V40"/>
    <mergeCell ref="A42:C42"/>
    <mergeCell ref="A43:C43"/>
    <mergeCell ref="K43:M43"/>
    <mergeCell ref="A44:B44"/>
    <mergeCell ref="F44:I44"/>
  </mergeCells>
  <dataValidations>
    <dataValidation type="list" allowBlank="1" sqref="G15">
      <formula1>"-,Rasa,Funda"</formula1>
    </dataValidation>
    <dataValidation type="list" allowBlank="1" sqref="Q43">
      <formula1>"Comum,Encaixado,Caixinha"</formula1>
    </dataValidation>
    <dataValidation type="list" allowBlank="1" sqref="A5 P5 K11 U14 A25 F27 P28 K30 U30 U35 P37 A42 K43 F46 F53 U57 A59 K62 P62 U72">
      <formula1>Materiais</formula1>
    </dataValidation>
    <dataValidation type="list" allowBlank="1" sqref="F15">
      <formula1>"-,1,2"</formula1>
    </dataValidation>
    <dataValidation type="list" allowBlank="1" sqref="B7:B9 Q8:Q10 B27 G29 Q40:Q41 G55:G57 V59:V60 V74:V76">
      <formula1>"0,1,2,3,4,5"</formula1>
    </dataValidation>
  </dataValidations>
  <drawing r:id="rId1"/>
</worksheet>
</file>